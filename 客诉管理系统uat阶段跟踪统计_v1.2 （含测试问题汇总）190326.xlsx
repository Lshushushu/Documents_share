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485" windowHeight="12915" tabRatio="461" activeTab="3"/>
  </bookViews>
  <sheets>
    <sheet name="总表" sheetId="1" r:id="rId1"/>
    <sheet name="日计划及实际" sheetId="2" r:id="rId2"/>
    <sheet name="测试问题统计" sheetId="6" r:id="rId3"/>
    <sheet name="问题汇总" sheetId="12" r:id="rId4"/>
  </sheets>
  <externalReferences>
    <externalReference r:id="rId5"/>
    <externalReference r:id="rId6"/>
  </externalReferences>
  <definedNames>
    <definedName name="_xlnm._FilterDatabase" localSheetId="3" hidden="1">问题汇总!$A$1:$T$224</definedName>
    <definedName name="a">a</definedName>
    <definedName name="ChargePerson">'[1]R&amp;R'!$D$2:$D$10</definedName>
    <definedName name="ChargePersonOA">'[2]R&amp;R'!$D$2:$D$17</definedName>
    <definedName name="IssueItem">'[2]R&amp;R'!$A$2:$A$25</definedName>
    <definedName name="IssuePriority">'[2]R&amp;R'!$C$2:$C$4</definedName>
    <definedName name="IssueType">'[2]R&amp;R'!$B$2:$B$5</definedName>
    <definedName name="_xlnm.Print_Area">#REF!</definedName>
    <definedName name="ボタン3_Click">ボタン3_Click</definedName>
  </definedNames>
  <calcPr calcId="144525"/>
</workbook>
</file>

<file path=xl/sharedStrings.xml><?xml version="1.0" encoding="utf-8"?>
<sst xmlns="http://schemas.openxmlformats.org/spreadsheetml/2006/main" count="2519" uniqueCount="739">
  <si>
    <t>*计划产生变化请用红色字体标识</t>
  </si>
  <si>
    <t>可交付测试功能数量统计</t>
  </si>
  <si>
    <t>序号</t>
  </si>
  <si>
    <t>系统模块</t>
  </si>
  <si>
    <t>功能数</t>
  </si>
  <si>
    <t>供应商内测计划完成数</t>
  </si>
  <si>
    <t>供应商内测实际完成数</t>
  </si>
  <si>
    <t>完成率（百分比）</t>
  </si>
  <si>
    <t>2.25~3.1</t>
  </si>
  <si>
    <t>3.4~3.8</t>
  </si>
  <si>
    <t>3.11~3.15</t>
  </si>
  <si>
    <t>3.18~3.22</t>
  </si>
  <si>
    <t>3.25~3.29</t>
  </si>
  <si>
    <t>4.1~4.5</t>
  </si>
  <si>
    <t>4.8~4.12</t>
  </si>
  <si>
    <t>4.14~4.18</t>
  </si>
  <si>
    <t>计划测试数</t>
  </si>
  <si>
    <t>实际完成数</t>
  </si>
  <si>
    <t>登录</t>
  </si>
  <si>
    <t>知识库</t>
  </si>
  <si>
    <t>客户</t>
  </si>
  <si>
    <t>通讯录</t>
  </si>
  <si>
    <t>系统管理</t>
  </si>
  <si>
    <t>综合查询</t>
  </si>
  <si>
    <t>外呼管理</t>
  </si>
  <si>
    <t>案件管理</t>
  </si>
  <si>
    <t xml:space="preserve">质检管理 </t>
  </si>
  <si>
    <t>接口</t>
  </si>
  <si>
    <t>主页面</t>
  </si>
  <si>
    <t>工单管理</t>
  </si>
  <si>
    <t xml:space="preserve">邮件短信 </t>
  </si>
  <si>
    <t xml:space="preserve"> 大屏显示</t>
  </si>
  <si>
    <t>分析统计</t>
  </si>
  <si>
    <t>申诉管理</t>
  </si>
  <si>
    <t>软电话</t>
  </si>
  <si>
    <t>测试计划及跟踪</t>
  </si>
  <si>
    <t>测试完成率</t>
  </si>
  <si>
    <t>累计统计</t>
  </si>
  <si>
    <t>本周累计计划完成</t>
  </si>
  <si>
    <t>本周累计实际完成</t>
  </si>
  <si>
    <t>计划完成率</t>
  </si>
  <si>
    <t>测试问题统计</t>
  </si>
  <si>
    <t>测试产生问题数</t>
  </si>
  <si>
    <t>问题分类统计数</t>
  </si>
  <si>
    <t>问题处理情况统计</t>
  </si>
  <si>
    <t>关闭率</t>
  </si>
  <si>
    <t>BUG关闭率</t>
  </si>
  <si>
    <t>BUG</t>
  </si>
  <si>
    <t>式样变更</t>
  </si>
  <si>
    <t>优化需求</t>
  </si>
  <si>
    <t>数据问题</t>
  </si>
  <si>
    <t>处理中</t>
  </si>
  <si>
    <t>业务待验证</t>
  </si>
  <si>
    <t>关闭</t>
  </si>
  <si>
    <t>BUG关闭</t>
  </si>
  <si>
    <t>登陆</t>
  </si>
  <si>
    <t>/</t>
  </si>
  <si>
    <t>质检管理</t>
  </si>
  <si>
    <t>编号　</t>
  </si>
  <si>
    <t>提出人</t>
  </si>
  <si>
    <t>模块</t>
  </si>
  <si>
    <t>问题类型</t>
  </si>
  <si>
    <t>问题描述</t>
  </si>
  <si>
    <t>问题
提出日</t>
  </si>
  <si>
    <t>计划解决时间</t>
  </si>
  <si>
    <t>开发人</t>
  </si>
  <si>
    <t>测试人</t>
  </si>
  <si>
    <t>问题
紧急度</t>
  </si>
  <si>
    <t>关闭
状态</t>
  </si>
  <si>
    <t>问题分析描述</t>
  </si>
  <si>
    <t>问题影响范围（业务/程序/流程/接口）</t>
  </si>
  <si>
    <t>问题解决方法</t>
  </si>
  <si>
    <t>问题
解决日</t>
  </si>
  <si>
    <t>涉及程序</t>
  </si>
  <si>
    <t>涉及程序版本</t>
  </si>
  <si>
    <t>备注</t>
  </si>
  <si>
    <t xml:space="preserve">测试结果 </t>
  </si>
  <si>
    <t>处理时间</t>
  </si>
  <si>
    <t>刘丹</t>
  </si>
  <si>
    <t>登陆界面，话务员显示用户名、密码、工号、分机，非话务员仅显示用户名、密码即可（现系统环境话务员和非话务员都显示用户名、密码、工号、分机）。</t>
  </si>
  <si>
    <t>朱浪</t>
  </si>
  <si>
    <t>刘狂飞</t>
  </si>
  <si>
    <t>低</t>
  </si>
  <si>
    <t>区域人员和话务人员登录的填写内容不完全相同</t>
  </si>
  <si>
    <t xml:space="preserve">工号、分机号文本框内，灰色字体提示‘仅限座席使用’
</t>
  </si>
  <si>
    <t>上线前</t>
  </si>
  <si>
    <t>知识库-知识管理</t>
  </si>
  <si>
    <t>操作“删除目录“时会提示”是否确认删除，一旦确认，该分类文章也将被删除”，该操作无法实现有附件的删除，必须要将右侧文件删除后才能删除，与提示不符。</t>
  </si>
  <si>
    <t>高</t>
  </si>
  <si>
    <t>问题关闭</t>
  </si>
  <si>
    <t>系统逻辑与设计不符</t>
  </si>
  <si>
    <t>暂无其他影响</t>
  </si>
  <si>
    <t>需要和提示一致，删除目录时，同时删除分类下的文章</t>
  </si>
  <si>
    <t xml:space="preserve">2019-2-28
</t>
  </si>
  <si>
    <t>FAQ/tree/select.asp</t>
  </si>
  <si>
    <t>已复测</t>
  </si>
  <si>
    <t>OK</t>
  </si>
  <si>
    <t>新增目录时，下方有四个选项，四个选项要拖滚动条才能显示完整，改成四个选项直接显示在主界面。</t>
  </si>
  <si>
    <t xml:space="preserve">不便于业务操作 </t>
  </si>
  <si>
    <t>调整按钮大小，不需要使用滚动条显示在同一个画面</t>
  </si>
  <si>
    <t>点击“增加子目录”下面选项显示不完整</t>
  </si>
  <si>
    <t>增加子分类的按钮显示不全</t>
  </si>
  <si>
    <t>优化按钮显示</t>
  </si>
  <si>
    <t>FAQ/tree/addNewThread.asp</t>
  </si>
  <si>
    <t>文本编辑框删除“代码”、“设计”，文本保存或修改好后自动跳至“预览”界面（现是自动跳至“设计”界面）</t>
  </si>
  <si>
    <t>中</t>
  </si>
  <si>
    <t>业务不需要代码和设计的文本编辑</t>
  </si>
  <si>
    <t>删除“代码”、“设计”，文本保存或修改好后自动跳至“预览”界面</t>
  </si>
  <si>
    <t>文档有效期要增加一个“永久”的选项，可以选择永久或时间。</t>
  </si>
  <si>
    <t>新需求</t>
  </si>
  <si>
    <t xml:space="preserve">有效期：增加‘永久’选项，和可填日期做成单选，选择“永久”则有效期一栏显示永久字样
</t>
  </si>
  <si>
    <t>上线后</t>
  </si>
  <si>
    <t>有效期设了50天，界面显示为空白</t>
  </si>
  <si>
    <t>修改有效期正确显示</t>
  </si>
  <si>
    <t>FAQ/docadmin/contentManage.asp</t>
  </si>
  <si>
    <t>“修改目录名称”可以使用，但显示要往下框，不容易发现，改在当前面显示。</t>
  </si>
  <si>
    <t>按照增加子目录的方式，弹出修改页面</t>
  </si>
  <si>
    <r>
      <rPr>
        <sz val="8"/>
        <rFont val="微软雅黑"/>
        <charset val="134"/>
      </rPr>
      <t>B</t>
    </r>
    <r>
      <rPr>
        <sz val="8"/>
        <rFont val="微软雅黑"/>
        <charset val="134"/>
      </rPr>
      <t>UG</t>
    </r>
  </si>
  <si>
    <t>“移动文章”能实现一次跨级移动，第二次开始不能跨级移动，如只能平级移动
例：1111是从疫情报告里移到传染病里的，2222就不能实现跨级移动了</t>
  </si>
  <si>
    <t>修改程序实现可以正常越级移动目录</t>
  </si>
  <si>
    <t>FAQ/docadmin/toolBar.asp</t>
  </si>
  <si>
    <r>
      <rPr>
        <sz val="8"/>
        <rFont val="微软雅黑"/>
        <charset val="134"/>
      </rPr>
      <t>文档编辑时不能添加P</t>
    </r>
    <r>
      <rPr>
        <sz val="8"/>
        <rFont val="微软雅黑"/>
        <charset val="134"/>
      </rPr>
      <t>DF</t>
    </r>
  </si>
  <si>
    <t>优化，word，Excel可以上传，pdf不行</t>
  </si>
  <si>
    <t>增加PDF上传格式</t>
  </si>
  <si>
    <t>知识库-知识检索</t>
  </si>
  <si>
    <t>点击“知识检索”高频率出现乱码</t>
  </si>
  <si>
    <t>BUG,浏览器兼容性问题</t>
  </si>
  <si>
    <t>与此乱码页面有关联的页面或是跳转页面（链接）内容展示受编码调整影响可能会乱码</t>
  </si>
  <si>
    <t>调整页面编码</t>
  </si>
  <si>
    <t>FAQ/TreeselectM.htm</t>
  </si>
  <si>
    <t>知识检索时加“回车”实现检索，现在必须按放大镜</t>
  </si>
  <si>
    <t>希望更便于使用</t>
  </si>
  <si>
    <t>增加回车即可检索功能</t>
  </si>
  <si>
    <t>检索出的内容点不开</t>
  </si>
  <si>
    <t>快捷检索，点击文章标题使能够跳转到文章内容页面</t>
  </si>
  <si>
    <t>FAQ/searchList.asp
FAQ/thread.asp</t>
  </si>
  <si>
    <t>孙耀东</t>
  </si>
  <si>
    <r>
      <rPr>
        <sz val="8"/>
        <rFont val="微软雅黑"/>
        <charset val="134"/>
      </rPr>
      <t>F</t>
    </r>
    <r>
      <rPr>
        <sz val="8"/>
        <rFont val="微软雅黑"/>
        <charset val="134"/>
      </rPr>
      <t>AQ下面的“检索”改成“高级检索”</t>
    </r>
  </si>
  <si>
    <t>和快捷检索做区分</t>
  </si>
  <si>
    <t>修改名称</t>
  </si>
  <si>
    <t>褚银寒/周雪艳</t>
  </si>
  <si>
    <t>知识库管理界面编辑好保存后无法跳转到主界面，仍显未文本编辑页面</t>
  </si>
  <si>
    <t>保存文章后，仍停留在编辑页面，没有直观显示所添加的文章</t>
  </si>
  <si>
    <t>保存文章后，回转到查询列表</t>
  </si>
  <si>
    <t>知识库管理界面添加附件，必须要先创建一个文本内容，否则添加附件无效！</t>
  </si>
  <si>
    <t>无法直接添加附件</t>
  </si>
  <si>
    <t>文章编辑功能可能影响无法正常使用</t>
  </si>
  <si>
    <t>修改为不填写文章内容时，也可以添加附件</t>
  </si>
  <si>
    <t>FAQ/docadmin/srcAdmin.asp</t>
  </si>
  <si>
    <r>
      <rPr>
        <sz val="8"/>
        <rFont val="微软雅黑"/>
        <charset val="134"/>
      </rPr>
      <t>O</t>
    </r>
    <r>
      <rPr>
        <sz val="8"/>
        <rFont val="微软雅黑"/>
        <charset val="134"/>
      </rPr>
      <t>K</t>
    </r>
  </si>
  <si>
    <t>知识库管理界面编辑时字体颜色无法做修改</t>
  </si>
  <si>
    <t>无法设置字体颜色等样式</t>
  </si>
  <si>
    <t>编辑器配置/替换可能影响到其他功能（例：word导入、文字录入）无法正常使用</t>
  </si>
  <si>
    <t>修改文章内容时，可以进行样式编辑</t>
  </si>
  <si>
    <t>知识管理界面，目录上面增加搜索功能，可以快速找到文章进行修改</t>
  </si>
  <si>
    <t>陈静</t>
  </si>
  <si>
    <t>找回密码的邮件内容过于简单</t>
  </si>
  <si>
    <t>找回密码的邮件内容过于简单，不够友好</t>
  </si>
  <si>
    <t>改为：
尊敬的用户XXX(用户名)，
您的密码为：XXXXXX，请妥善保管。</t>
  </si>
  <si>
    <t>客户管理-基本信息</t>
  </si>
  <si>
    <t>“电话号码”改成“手机号码”，增加“联系号码”筛选项</t>
  </si>
  <si>
    <t>目前电话号码查询只能查询到手机号码的信息</t>
  </si>
  <si>
    <t>检索出的数据记录受影响与指定条件不匹配</t>
  </si>
  <si>
    <t>“电话号码”能查询到基本信息中的所有电话信息</t>
  </si>
  <si>
    <t>CustomerInfo/CusInfo.aspx</t>
  </si>
  <si>
    <t>ok</t>
  </si>
  <si>
    <t>“添加用户”按钮名称（文字）改为 添加客户（必填项：姓名、手机）</t>
  </si>
  <si>
    <t>用户确认业务场景不需要</t>
  </si>
  <si>
    <t>经销商代码、经销商信息不能修改</t>
  </si>
  <si>
    <t>经销商代码、经销商信息做了限制不能修改</t>
  </si>
  <si>
    <t>经销商代码和经销商信息改成可以能够手动修改</t>
  </si>
  <si>
    <t>客户管理-黑名单</t>
  </si>
  <si>
    <t>修改黑名单时，开始时间、结束时间的小时在主界面不能按选择的时间进行显示。</t>
  </si>
  <si>
    <t>修改黑名单设置时间，在查询列表显示的时间按照设置内容显示</t>
  </si>
  <si>
    <t>CustomerInfo/BlackTelOper.aspx</t>
  </si>
  <si>
    <t>加入原因，必填</t>
  </si>
  <si>
    <t>业务需要</t>
  </si>
  <si>
    <t>加入原因修改为必填</t>
  </si>
  <si>
    <t>黑名单主界面表头缺一个“加入原因”</t>
  </si>
  <si>
    <t>无法根据加入原因快速检索出对应记录</t>
  </si>
  <si>
    <t>增加表头</t>
  </si>
  <si>
    <t>CustomerInfo/BlackTelList.aspx</t>
  </si>
  <si>
    <t>客户管理-预警客户</t>
  </si>
  <si>
    <t>预警客户主界面表头缺一个“加入原因”</t>
  </si>
  <si>
    <t>CustomerInfo/CusWarning.aspx</t>
  </si>
  <si>
    <t>所有添加的手机号码，系统需要限制11位，以防多录数字。</t>
  </si>
  <si>
    <t>需要保证数据准确性校验</t>
  </si>
  <si>
    <t>增加判断</t>
  </si>
  <si>
    <t>添加通讯录，经销商代码录字母就无法录入（经销商代码是含字母）</t>
  </si>
  <si>
    <t>问题处理中</t>
  </si>
  <si>
    <t>通讯录添加与编辑功能受影响无法正常使用</t>
  </si>
  <si>
    <t>改为可以输入数字和字母</t>
  </si>
  <si>
    <t>AddressList/AddressListADD.aspx</t>
  </si>
  <si>
    <t>退回修改</t>
  </si>
  <si>
    <t>只能实现“输入名称自己动带入经销商代码”，还需实现“输入代码自动代入经销商名称”</t>
  </si>
  <si>
    <t>添加通讯录，邮编写成了邮箱</t>
  </si>
  <si>
    <t>修改字段名称</t>
  </si>
  <si>
    <t>添加通讯录，销售经理信息里多“姓名”两个字</t>
  </si>
  <si>
    <t>添加通讯录，客服经理加个“客服经理座机”选项，导出内容中也需要增加这个字段</t>
  </si>
  <si>
    <t>增加’客服经理座机‘字段</t>
  </si>
  <si>
    <t>除总部人员信息外、备注以外，其它都要必填</t>
  </si>
  <si>
    <t>更改需求</t>
  </si>
  <si>
    <t>经销商信息、销售经理、服务经理、客服经理等信息为必填项，做必填判断</t>
  </si>
  <si>
    <t>通讯录的删除、编辑、转至第几页放到最前面，方便使用。双击某条数据时要能跳出“添加通讯录”的界面，方便查看</t>
  </si>
  <si>
    <t>不便于业务操作</t>
  </si>
  <si>
    <t>按照业务需求修改</t>
  </si>
  <si>
    <t>筛选条件不对，应该是区域、省份、城市、经销商代码、经销商名称、销售大区经理、销售区域经理、服务大区经理、服务业务经理、区域技术工程师</t>
  </si>
  <si>
    <t>缺少筛选条件</t>
  </si>
  <si>
    <t>数据受影响无法按指定条件进行检索</t>
  </si>
  <si>
    <t>增加查询条件</t>
  </si>
  <si>
    <t>待验证</t>
  </si>
  <si>
    <t>对应关系，不准确</t>
  </si>
  <si>
    <t>选择某个区域，省份和城市应只显示相应区的，不是显示全国的</t>
  </si>
  <si>
    <t>确认区域、省份、城市对应关系后，进行对应关系的设置</t>
  </si>
  <si>
    <t>“真的要删除吗”改成“确定要删除吗”</t>
  </si>
  <si>
    <t>过于口语化</t>
  </si>
  <si>
    <t>修改提示语</t>
  </si>
  <si>
    <t>导入通讯录的模板下载后无法打开文件，提示如下：</t>
  </si>
  <si>
    <t>BUG文本格式存在问题</t>
  </si>
  <si>
    <t>影响导入功能的正常使用</t>
  </si>
  <si>
    <t>修改代码</t>
  </si>
  <si>
    <t>AddressList/ImmitNew.aspx</t>
  </si>
  <si>
    <t>查询画面的表头字段调整显示，尽量显示在一行</t>
  </si>
  <si>
    <t>画面不好看</t>
  </si>
  <si>
    <t>调整显示</t>
  </si>
  <si>
    <t>系统管理-&gt;基础数据设置</t>
  </si>
  <si>
    <t>删除备注这个选项</t>
  </si>
  <si>
    <t>删除基础数据，部门、受理类型的备注项</t>
  </si>
  <si>
    <t>在某个部门下进行“新增”操作，上级部门应该显示当前操作的部门，而不是所有部门</t>
  </si>
  <si>
    <t>修改为点击左侧菜单，右边跳转到新增页面时，部门信息与左侧选择的部门同步</t>
  </si>
  <si>
    <t>提示语改成：确定要删除吗？</t>
  </si>
  <si>
    <t>所有提示语，改‘确定要删除吗？’</t>
  </si>
  <si>
    <t>业务类型名称新增完成后，左侧框架栏会刷新成第一级，改成刷新后显示到新增的层级</t>
  </si>
  <si>
    <t>修改为新增部门后，左侧菜单刷新，到新增的节点</t>
  </si>
  <si>
    <t>系统管理-&gt;通知公告</t>
  </si>
  <si>
    <t>公告无法添加，显示空白</t>
  </si>
  <si>
    <t>无法正常打开页面</t>
  </si>
  <si>
    <t>影响公告修改页面无法正常使用</t>
  </si>
  <si>
    <t>修改为正常显示</t>
  </si>
  <si>
    <t>Notice/NoticeADD.aspx</t>
  </si>
  <si>
    <t xml:space="preserve">OK
</t>
  </si>
  <si>
    <t>公告无法修改，显示空白</t>
  </si>
  <si>
    <t>影响公告添加页面无法正常使用</t>
  </si>
  <si>
    <t>筛选条件开始时间/结束时间无法实现查询。
开始时间是清单里的发布时间吗？清单里没有结束时间。</t>
  </si>
  <si>
    <t>条件查询与列表中字段不匹配</t>
  </si>
  <si>
    <t>修改为开始时间、结束时间，能够正常检索</t>
  </si>
  <si>
    <t>Notice/Noticeinfo.aspx</t>
  </si>
  <si>
    <t>褚银寒/韩艳</t>
  </si>
  <si>
    <t>受理类型在删除时必须要先删子目录</t>
  </si>
  <si>
    <t>通知公告：1、置顶后无法取消置顶；
2、新增公告未按时间顺序排列；</t>
  </si>
  <si>
    <t>1、无法取消置顶
2、时间排序不准确</t>
  </si>
  <si>
    <t>影响主页面公告板块显示</t>
  </si>
  <si>
    <t xml:space="preserve">2019-3-1
</t>
  </si>
  <si>
    <t>通知公告：公告内容无法点击查看具体内容，显示不完整！</t>
  </si>
  <si>
    <t>1、通知公告内容显示不全</t>
  </si>
  <si>
    <t>影响公告查看详细内容</t>
  </si>
  <si>
    <t>详细页面增加滚动条</t>
  </si>
  <si>
    <t>Notice/NoticeDetails.aspx</t>
  </si>
  <si>
    <t>通知公告：二次修改提示不得超于20个字符公告内容只能一次修改</t>
  </si>
  <si>
    <t>公告修改功能受影响无法正常使用</t>
  </si>
  <si>
    <t>1、使其能够正常修改
2、判断标题不能超过50个字符</t>
  </si>
  <si>
    <t>系统管理-&gt;工单问题描述</t>
  </si>
  <si>
    <t>工单问题描述显示字数过少，导致若是需要修改某个字不方便</t>
  </si>
  <si>
    <t>工单问题描述需要首字母排序</t>
  </si>
  <si>
    <t>“添加工单描述”添加一模一样的问题，系统要有提示（现在可以添加一模一样的问题）</t>
  </si>
  <si>
    <t>没有判断重复名称</t>
  </si>
  <si>
    <t>案件、工单创建页面“问题描述”下拉受影响，形成案件、工单可能出现重复记录</t>
  </si>
  <si>
    <t xml:space="preserve">2019-3-4
</t>
  </si>
  <si>
    <t>Workissue/WorkissueADD.aspx</t>
  </si>
  <si>
    <t>系统管理-&gt;业务来源</t>
  </si>
  <si>
    <t>在某个来源下进行“新增”操作，上级部门应该显示当前操作的部门，而不是所有部门</t>
  </si>
  <si>
    <t>未按时间排序</t>
  </si>
  <si>
    <t>时间排序不准确</t>
  </si>
  <si>
    <t>影响查询记录显示</t>
  </si>
  <si>
    <t xml:space="preserve">2019-3-1
</t>
  </si>
  <si>
    <t>Workissue/Workissueinfo.aspx</t>
  </si>
  <si>
    <t>序号列可以缩小一点，留点空音显示工单问题描述</t>
  </si>
  <si>
    <t>沈娟</t>
  </si>
  <si>
    <t>系统管理-&gt;零件问题描述</t>
  </si>
  <si>
    <t>导入零件+问题后，页面未跳至零件+问题查询页，还是导入页</t>
  </si>
  <si>
    <t>导入Excel的模板复杂，表头改为（零件+问题）</t>
  </si>
  <si>
    <t>创建时间、创建人等应该
有系统自动分配</t>
  </si>
  <si>
    <t>Parts/PartsInject.aspx</t>
  </si>
  <si>
    <t>手动添加相同的零件问题描述，应该是唯一的</t>
  </si>
  <si>
    <t>没有判断重复零件问题描述</t>
  </si>
  <si>
    <t>Parts/PartsIn.aspx</t>
  </si>
  <si>
    <t>修改内容，标题会跟着改变</t>
  </si>
  <si>
    <t>影响数据准确性</t>
  </si>
  <si>
    <t>区分内容和标题</t>
  </si>
  <si>
    <t>系统管理-&gt;用户管理</t>
  </si>
  <si>
    <t>没有用户导出</t>
  </si>
  <si>
    <t xml:space="preserve">2019-3-14
</t>
  </si>
  <si>
    <t>没有按照需求实现</t>
  </si>
  <si>
    <t>用户数据导出功能受影响无法正常使用</t>
  </si>
  <si>
    <r>
      <rPr>
        <sz val="8"/>
        <rFont val="微软雅黑"/>
        <charset val="134"/>
      </rPr>
      <t>按需求定义书，增加用户导出Excel，字段：用户名、姓名、手机号、邮箱、部门、角色、创建时间、创建人、最后修改时间，最后修改人，增加工号、组信息的导出，</t>
    </r>
    <r>
      <rPr>
        <sz val="8"/>
        <color rgb="FFFF0000"/>
        <rFont val="微软雅黑"/>
        <charset val="134"/>
      </rPr>
      <t>在显示列表里面增加角色字段</t>
    </r>
  </si>
  <si>
    <t>UserList/UserPower.aspx</t>
  </si>
  <si>
    <t>新建用户中有联系电话，但是在列表中没有显示，列表中有手机号码，但是没有录入的地方</t>
  </si>
  <si>
    <t>把列表中的手机号码改为联系电话，显示新建用户中的联系电话信息</t>
  </si>
  <si>
    <t>/UserList/UserPower.aspx</t>
  </si>
  <si>
    <t>用户初次登录没有要求修改密码</t>
  </si>
  <si>
    <t>未按设计书要求</t>
  </si>
  <si>
    <t>未按需求文档要求实现，使用系统时账号安全性降低</t>
  </si>
  <si>
    <t>用户初次登录需要修改密码（包含密码重置后）</t>
  </si>
  <si>
    <t>FrameTop.htm</t>
  </si>
  <si>
    <t>密码重置的邮件未测试，到期前15天密码到期提醒未测试</t>
  </si>
  <si>
    <t>798是存在的用户名，但登录报错如下</t>
  </si>
  <si>
    <t>BUG，请查明具体原因</t>
  </si>
  <si>
    <t>影响系统无法正常登录</t>
  </si>
  <si>
    <t>添加/修改用户账号信息时，需统一加密处理密码</t>
  </si>
  <si>
    <t>没有分配角色即没有权限（浏览主页面的权限都没有），分配角色就可以了非BUG</t>
  </si>
  <si>
    <t>菜单栏</t>
  </si>
  <si>
    <t>菜单栏的选项（文字）保持左对齐</t>
  </si>
  <si>
    <t>系统管理-&gt;角色管理</t>
  </si>
  <si>
    <t>在权限冲突里设置了代办和创建、查询冲突，在角色管理里设置权限没有选择创建和查询还显示冲突。</t>
  </si>
  <si>
    <t>角色分配权限时受影响，不能体现权限之间的互斥性</t>
  </si>
  <si>
    <r>
      <rPr>
        <sz val="8"/>
        <rFont val="微软雅黑"/>
        <charset val="134"/>
      </rPr>
      <t>2019-3-</t>
    </r>
    <r>
      <rPr>
        <sz val="8"/>
        <rFont val="微软雅黑"/>
        <charset val="134"/>
      </rPr>
      <t>4</t>
    </r>
    <r>
      <rPr>
        <sz val="8"/>
        <rFont val="微软雅黑"/>
        <charset val="134"/>
      </rPr>
      <t xml:space="preserve">
</t>
    </r>
  </si>
  <si>
    <t>Conflict/Conflictinfo.aspx</t>
  </si>
  <si>
    <t>韩艳</t>
  </si>
  <si>
    <t>综合查询-用户查询</t>
  </si>
  <si>
    <t>离线查询，离线字体颜色是灰色的，太浅，看不清楚</t>
  </si>
  <si>
    <t>综合查询-座席话务查询</t>
  </si>
  <si>
    <r>
      <rPr>
        <sz val="8"/>
        <color rgb="FFFF0000"/>
        <rFont val="微软雅黑"/>
        <charset val="134"/>
      </rPr>
      <t>导出的数据无法显示全部的呼叫id；</t>
    </r>
    <r>
      <rPr>
        <sz val="8"/>
        <rFont val="微软雅黑"/>
        <charset val="134"/>
      </rPr>
      <t xml:space="preserve">
筛选项有座席组选项，下表中没有该项显示</t>
    </r>
  </si>
  <si>
    <t xml:space="preserve">2019-3-16
</t>
  </si>
  <si>
    <t>1、导出的呼叫ID，Excel表格中，要改变单元格格式
2、临时数据，没有座席对应，所以为空</t>
  </si>
  <si>
    <t>1、呼叫ID隐藏了，对于座席没有作用
2、查询列表增加一列‘坐席组’</t>
  </si>
  <si>
    <r>
      <rPr>
        <sz val="8"/>
        <color theme="1"/>
        <rFont val="微软雅黑"/>
        <charset val="134"/>
      </rPr>
      <t>DTTel_I/IVRCSSearch.asp</t>
    </r>
    <r>
      <rPr>
        <sz val="11"/>
        <color theme="1"/>
        <rFont val="宋体"/>
        <charset val="134"/>
        <scheme val="minor"/>
      </rPr>
      <t>x</t>
    </r>
  </si>
  <si>
    <t>综合查询-录音查询</t>
  </si>
  <si>
    <t>导出的数据，没有关联工单和质检评分信息；</t>
  </si>
  <si>
    <t>质检流程错误</t>
  </si>
  <si>
    <t>影响数据记录查看</t>
  </si>
  <si>
    <t>1、导出的数据需要质检平分
2、质检平分是怎么样创建的</t>
  </si>
  <si>
    <t>DTTel_I/RecordSearch.aspx</t>
  </si>
  <si>
    <t>综合查询-IVR满意度评价</t>
  </si>
  <si>
    <t>满意度-- 是否评价 逻辑不匹配</t>
  </si>
  <si>
    <t>有可能是数据库里面的数据不全导致，开发那边再确认一下</t>
  </si>
  <si>
    <t>影响数据显示准确性</t>
  </si>
  <si>
    <t>DTTel_I/IVRCSSearch.aspx</t>
  </si>
  <si>
    <t>满意度字段里面是空白
，后边却显示已评价，
不匹配</t>
  </si>
  <si>
    <t>综合查询-留言查询</t>
  </si>
  <si>
    <r>
      <rPr>
        <sz val="8"/>
        <rFont val="微软雅黑"/>
        <charset val="134"/>
      </rPr>
      <t xml:space="preserve">小电话和号码太近，导致点击小电话时会跳出工单界面，建议将小电话单独一列显示；
</t>
    </r>
    <r>
      <rPr>
        <sz val="8"/>
        <color rgb="FFFF0000"/>
        <rFont val="微软雅黑"/>
        <charset val="134"/>
      </rPr>
      <t>导出的EXCEL中没有留言类型；</t>
    </r>
  </si>
  <si>
    <r>
      <rPr>
        <sz val="8"/>
        <rFont val="微软雅黑"/>
        <charset val="134"/>
      </rPr>
      <t xml:space="preserve">之前没有直接外呼的功能
留言查询对比需求分析的时候看一下，小电话的图标是否有点击可以外呼功能。把前面的已恢复未恢复确认一下确保可以测试
</t>
    </r>
    <r>
      <rPr>
        <sz val="8"/>
        <color rgb="FFFF0000"/>
        <rFont val="微软雅黑"/>
        <charset val="134"/>
      </rPr>
      <t>导出的EXCEL中没有留言类型已改；</t>
    </r>
  </si>
  <si>
    <t>小电话跳转至（软电话）呼出页面</t>
  </si>
  <si>
    <t>综合查询-日志查询</t>
  </si>
  <si>
    <t>不选择时间，点“日志分类”出现乱码</t>
  </si>
  <si>
    <t xml:space="preserve">2019-3-7
</t>
  </si>
  <si>
    <t>检索功能受影响无法正常使用</t>
  </si>
  <si>
    <t>Search/SearchLog.aspx</t>
  </si>
  <si>
    <t>表头“通话”改成“接入状态”</t>
  </si>
  <si>
    <t>“部门”选项需要支持模糊快速查询，二级菜单有隐藏（几百家经销商不好选定）
1、模糊查询
2、更改树目录</t>
  </si>
  <si>
    <t>不选择时间，用其它选项查询会出现乱码</t>
  </si>
  <si>
    <t>综合查询-来电查询</t>
  </si>
  <si>
    <t>DTTel_I/IVRTelSearch.aspx</t>
  </si>
  <si>
    <t>外呼管理-&gt;问卷管理</t>
  </si>
  <si>
    <t>添加问卷的框调大，至少显示50个字</t>
  </si>
  <si>
    <t>相应的增加长度，宽度，尽可能的把字数显示出来</t>
  </si>
  <si>
    <t>“编辑”改成修改。另点击“编辑”保存后每次都会提示如下两图：</t>
  </si>
  <si>
    <t>应该是重复刷新，导致的重试弹窗提醒，</t>
  </si>
  <si>
    <t>WHuManager/OutboundWJAdd.aspx</t>
  </si>
  <si>
    <t>添加题目、查询的“题目描述”方框拉长，尽可能将题目显示完整,100个字</t>
  </si>
  <si>
    <t>编辑题目保存后总会跳出下面方框</t>
  </si>
  <si>
    <t>应该是重复刷新，导致的错误的重试弹窗提醒，</t>
  </si>
  <si>
    <t>题目回答--题目分支--选择不同答案，跳转不同分支</t>
  </si>
  <si>
    <t>1、题目分支取消向前跳转分支
2、跳转分支支持每个选项跳转不同题</t>
  </si>
  <si>
    <t>题目类型查询要能全部查询（现是单选）</t>
  </si>
  <si>
    <t>宋锐</t>
  </si>
  <si>
    <t>选项框加个空白，点击查询的时候可以查询所有单选，多选题目</t>
  </si>
  <si>
    <t>无法检索所有记录</t>
  </si>
  <si>
    <t>WHuManager/OutboundWJsubject.aspx</t>
  </si>
  <si>
    <t>外呼管理-&gt;外呼结果</t>
  </si>
  <si>
    <t>重复的外呼结果可以添加，没有提示不能添加相同的外呼结果</t>
  </si>
  <si>
    <t>没有判断重复外呼结果名称</t>
  </si>
  <si>
    <t>执行外呼时，外呼结果下拉项选择受影响，且可能造成客户记录显示重复</t>
  </si>
  <si>
    <t>WHuManager/OutboundResult.aspx
WHuManager/OutboundResultAdd.aspx</t>
  </si>
  <si>
    <t>点击删除某条外呼结果，总量有减少，但无法删除当前选中的外呼结果</t>
  </si>
  <si>
    <t>自己新添加的可以正常删除，删除之前的数据，例如‘拒访’就删除不掉</t>
  </si>
  <si>
    <t>影响删除功能无法正常使用</t>
  </si>
  <si>
    <t>WHuManager/OutboundResult.aspx</t>
  </si>
  <si>
    <t>外呼管理-&gt;任务管理</t>
  </si>
  <si>
    <t>在任务管理列表中任务名称 的字段显示调宽
操作字段 调窄</t>
  </si>
  <si>
    <t>添加任务的框要调大，要能将文字尽量显示完整50个字</t>
  </si>
  <si>
    <t>添加客户时导入的模板字段要明确下来，字段有：手机、姓名、车牌、底盘号、经销商代码、经销商名称，后面字段如有增加也不要影响导入
1、固定字段
2、随机增加字段列</t>
  </si>
  <si>
    <t xml:space="preserve">1.后期根据客户需要定期修改字段（固定字段）
2.跟客户对接先把固定字段固定，预留一个随机字段。
</t>
  </si>
  <si>
    <t xml:space="preserve">数据库放在一个列，随机增加的字段，显示的时候按字段分行显示（备注字段内全字段显示）
</t>
  </si>
  <si>
    <t>上线前
随机增加的字段分各列显示（上线后）</t>
  </si>
  <si>
    <t>添加任务时，选择问卷显示空白，不要默认某问卷</t>
  </si>
  <si>
    <t>选择添加任务，默认在空白处，不是默认某问卷</t>
  </si>
  <si>
    <t>问卷管理设置的”是“跳至第二个问题，实际是反的，点”否“跳至第二个问题</t>
  </si>
  <si>
    <t>问卷管理，题目管理，分支中当客户回答是可进行设定指定的题序，同时回答否也可进行指定的题序</t>
  </si>
  <si>
    <t>执行外呼时，问卷题目选择无法跳转至分支设定的题目</t>
  </si>
  <si>
    <t>WHuManager/OutboundMyTASKinfo.aspx</t>
  </si>
  <si>
    <t xml:space="preserve">题序会重复，且重复的题序无法进行题目分支设定
</t>
  </si>
  <si>
    <t>添加题目的时候，填写的题序如果写一样，列表题目中就会显示出来相同题序</t>
  </si>
  <si>
    <t>可能影响题目分支设置，及题目选择分支指定跳转的题目</t>
  </si>
  <si>
    <t>WHuManager/OutboundWJsubjectAdd.aspx</t>
  </si>
  <si>
    <t xml:space="preserve">
无法听取外呼录音；</t>
  </si>
  <si>
    <t>我的任务---每条客户信息里可以查到对应的录音</t>
  </si>
  <si>
    <t>褚银寒</t>
  </si>
  <si>
    <t>外呼管理-&gt;我的任务</t>
  </si>
  <si>
    <t>做完问卷脚本及跳转后，无法预览检测是否正确</t>
  </si>
  <si>
    <t>添加完问卷--以及题目分支，没有预览，就导致无法判断准确性</t>
  </si>
  <si>
    <t>问卷结束语不需要设置题目选项</t>
  </si>
  <si>
    <t>问卷结束语，应该是默认，不应该是设置在题目当中</t>
  </si>
  <si>
    <t>WHuManager/OutboundWJ.aspx
WHuManager/OutboundWJAdd.aspx</t>
  </si>
  <si>
    <t xml:space="preserve">点选问卷后无选项的项目不需要出现
</t>
  </si>
  <si>
    <t>我的任务--任务详情--选择题目分支跳转时，显示要跳转的题目，不需要跳转的题目，需要隐藏，而不是用横线划掉</t>
  </si>
  <si>
    <t>题目分支选择只能从所在题序往后选，不能全部选</t>
  </si>
  <si>
    <t>问题提交</t>
  </si>
  <si>
    <t>题目分支，应当可以往前选，也可以往后选</t>
  </si>
  <si>
    <t>题目分支设置，往前与往后设置可能会互相影响，致题目分支跳转出错</t>
  </si>
  <si>
    <t>WHuManager/OutboundBranch.aspx</t>
  </si>
  <si>
    <t>条件查询与实际结果不匹配
再次执行是什么意思</t>
  </si>
  <si>
    <t>1、外呼结果下拉，所查内容不准确
2、再次执行下拉，不明白什么意思</t>
  </si>
  <si>
    <t>WHuManager/OutboundTASKinfo.aspx</t>
  </si>
  <si>
    <t>外呼数据池内未联系的号码置顶</t>
  </si>
  <si>
    <t>外呼数据的列表排列顺序，应当以未联系的人优先</t>
  </si>
  <si>
    <t>未外呼客户记录展示不直观，可能影响客户外呼的时效性</t>
  </si>
  <si>
    <t>所有的创建时间请以最新的置顶
倒序</t>
  </si>
  <si>
    <t>任务列表排序不准确，应以最新的任务，排在第一页</t>
  </si>
  <si>
    <t>WHuManager/OutboundTASK.aspx</t>
  </si>
  <si>
    <t>没有外呼数据清单及导出，也没有外呼结果清单及导出，下列附件是目前系统导出的报表格式</t>
  </si>
  <si>
    <t>增加外呼数据清单（包含客户的详细资料、以及问卷内容等）</t>
  </si>
  <si>
    <t>预约如何执行，弹出窗口--选择开始，结束时间，到时间以后提前10分钟，弹出窗口提醒，不关闭一直显示</t>
  </si>
  <si>
    <t>预约功能是否能正常使用</t>
  </si>
  <si>
    <t>显示单项任务--导入客户的总人数---已拨打电话的数量--已完成问卷的数量</t>
  </si>
  <si>
    <t>任务管理记录列表“操作”列前增加字段列“进度”（三呼，分三次进度结果显示）</t>
  </si>
  <si>
    <t>周雪艳</t>
  </si>
  <si>
    <t>质检管理-质检项</t>
  </si>
  <si>
    <t>新增质检项服务禁忌子目录，但是再添加二级目录添加评分指标分值无法添加，只能在现有的质检评分下点击选择添加</t>
  </si>
  <si>
    <t>2019.3.8</t>
  </si>
  <si>
    <t>新增质检平分指标按钮</t>
  </si>
  <si>
    <t>质检管理-质检改善</t>
  </si>
  <si>
    <t>质检报表报告没有选项或筛选，进行选择发送的对象</t>
  </si>
  <si>
    <t>影响质检统计、改善功能无法正常使用</t>
  </si>
  <si>
    <t>等质检统计</t>
  </si>
  <si>
    <t>质检管理-质检查询</t>
  </si>
  <si>
    <t>工单质检：
选择业务类型，进行条件查询没有空白条，类似工单评价或座席组筛选</t>
  </si>
  <si>
    <t>影响检索操作，及无法查看指定过的条件（例：业务类型）</t>
  </si>
  <si>
    <t>检索条件“业务类型”增加删除按钮（点击后可清空业务类型条件框）</t>
  </si>
  <si>
    <t>Assess/AssessList.aspx</t>
  </si>
  <si>
    <t>2019/3/22(待验证)</t>
  </si>
  <si>
    <t>选择语音新增质检项后，上级目录默认工单，与实际不一致</t>
  </si>
  <si>
    <t>可能造成添加的质检项归属大类（工单、录音）有误</t>
  </si>
  <si>
    <t>区分主工单编号、关联工单编号</t>
  </si>
  <si>
    <t>质检改善统计表不正确：目前改善计划填写完无法选择人员发送并且该功能目前是不能用的，另外请添加查询条件：座席号、时间，前台、后台、外呼、前台工单、后台工单的查询条件</t>
  </si>
  <si>
    <t>功能需要调整</t>
  </si>
  <si>
    <t>目前选择子项点查询后类务类型显示为空白，再次点查询还是原查询结果</t>
  </si>
  <si>
    <t>录音查询点击后无结果明细变化</t>
  </si>
  <si>
    <t>质检项和质检平分不能重复添加</t>
  </si>
  <si>
    <t>可能影响质检评分记录重复显示，以及评分计算的准确性</t>
  </si>
  <si>
    <t>Assess/AssessType.aspx
Assess/AssessTypeItem.aspx</t>
  </si>
  <si>
    <t>案件管理-创建</t>
  </si>
  <si>
    <t>案件基本信息中必填项只要姓名、手机，其它取消</t>
  </si>
  <si>
    <t>倪跃祥</t>
  </si>
  <si>
    <t>ServManager/ServWrite_Case.aspx</t>
  </si>
  <si>
    <t>选定业务类型后，选项列表不能自动隐藏</t>
  </si>
  <si>
    <t>影响操作</t>
  </si>
  <si>
    <t>点手机号码、车牌号、VIN查询自动跳到“查询结果”页面</t>
  </si>
  <si>
    <t>案件管理-企业信箱-创建</t>
  </si>
  <si>
    <t>1、问题描述无法手动填写；
2、必填项保留客服姓名、手机号码即可；
3、业务类型新增模糊查询；</t>
  </si>
  <si>
    <t>1、“问题描述”下拉控件操作拓展（既可检索，亦可录入）
2、“业务类型”控件操作拓展（支持模糊查询）</t>
  </si>
  <si>
    <t xml:space="preserve"> 影响操作</t>
  </si>
  <si>
    <t>1、问题描述下拉检索框增加可录入功能
2、业务类型录入框支持模糊检索（结果显示全类型，例：咨询-经销商服务）</t>
  </si>
  <si>
    <t>待验证
（第2、3点）</t>
  </si>
  <si>
    <t>案件管理-CRC需处理案件</t>
  </si>
  <si>
    <t>新建工单点移交时，多次点击后在待办工单里会显示2条同样案件编号，工单编号不一样的相同内容工单</t>
  </si>
  <si>
    <t>重复提交引起相同记录</t>
  </si>
  <si>
    <t>影响数据记录</t>
  </si>
  <si>
    <t>操作按钮（例：移交），点击后设置为禁用</t>
  </si>
  <si>
    <t>ServManager/ServWork_Case.aspx</t>
  </si>
  <si>
    <t>案件信息，链接的框拉长</t>
  </si>
  <si>
    <t>文本框宽度不够</t>
  </si>
  <si>
    <t>文本框样式设置（宽度调整）</t>
  </si>
  <si>
    <t>1、历史工单取消手动选择时间，自动显示历史记录
2、数据不能按选定的开始时间、截止时间显示（显示所有案件）
3、历史工单显示往上移，尽量能在当前面显示</t>
  </si>
  <si>
    <t>1、“历史工单”板块位置调整
2、“历史工单”记录默认显示所有记录</t>
  </si>
  <si>
    <r>
      <rPr>
        <sz val="8"/>
        <rFont val="微软雅黑"/>
        <charset val="134"/>
      </rPr>
      <t xml:space="preserve">1、“历史工单”板块位置上移；
</t>
    </r>
    <r>
      <rPr>
        <sz val="8"/>
        <rFont val="微软雅黑"/>
        <charset val="134"/>
      </rPr>
      <t>2、“历史工单”板块检索</t>
    </r>
    <r>
      <rPr>
        <sz val="8"/>
        <rFont val="微软雅黑"/>
        <charset val="134"/>
      </rPr>
      <t>条件“日期段”默认为空（查所有记录）</t>
    </r>
  </si>
  <si>
    <t xml:space="preserve">1、历史工单关连的是已关闭的工单，保存取消，只显示关闭
2、确定关联的工单后，查询节点历史工单只显示 关联的工单，不需要全部显示 </t>
  </si>
  <si>
    <t>历史工单依然保留显示所有记录，仅针对已关联工单做相关处理</t>
  </si>
  <si>
    <t>针对已勾选的关联工单，记录标记底色（淡蓝色），并且置顶该记录</t>
  </si>
  <si>
    <t>底色上线前
置顶上线后</t>
  </si>
  <si>
    <t>历史工单关连的是未关闭的工单，关闭取消，只显示保存</t>
  </si>
  <si>
    <t>操作按钮启用/禁点控制</t>
  </si>
  <si>
    <r>
      <rPr>
        <sz val="8"/>
        <rFont val="微软雅黑"/>
        <charset val="134"/>
      </rPr>
      <t xml:space="preserve">1、根据关联工单的业务状态判断启用/禁用按钮
</t>
    </r>
    <r>
      <rPr>
        <sz val="8"/>
        <rFont val="微软雅黑"/>
        <charset val="134"/>
      </rPr>
      <t>2、</t>
    </r>
    <r>
      <rPr>
        <sz val="8"/>
        <rFont val="微软雅黑"/>
        <charset val="134"/>
      </rPr>
      <t>历史工单：字段“处理内容”截取部分</t>
    </r>
    <r>
      <rPr>
        <sz val="8"/>
        <rFont val="微软雅黑"/>
        <charset val="134"/>
      </rPr>
      <t>+…形式显示</t>
    </r>
  </si>
  <si>
    <t>客户详情sheet中将案件信息栏目往下调整，保证客户详情能充分显示</t>
  </si>
  <si>
    <t>页面板块样式调整</t>
  </si>
  <si>
    <t>调整客户详情标签对应板块高度</t>
  </si>
  <si>
    <t>用户退出之后，弹出框还可以继续查询和操作</t>
  </si>
  <si>
    <t>操作限制</t>
  </si>
  <si>
    <t>手机号码输入点击查询后，如果有多条查询结果，不要填入默认值，由人工选择</t>
  </si>
  <si>
    <t>取消默认显示一条客户信息功能</t>
  </si>
  <si>
    <t>检索查询后去除默认显示一条客户信息功能</t>
  </si>
  <si>
    <t>案件管理-企业信箱-已处理</t>
  </si>
  <si>
    <t>创建时间取案件的提交时间</t>
  </si>
  <si>
    <t>时间对应字段调整</t>
  </si>
  <si>
    <t>影响数据显示</t>
  </si>
  <si>
    <t>更换对应字段</t>
  </si>
  <si>
    <t>ServManager/ServWork.aspx</t>
  </si>
  <si>
    <t>查询/待办等（除创建之外）的页面，案件记录按“提交时间”降序排序；</t>
  </si>
  <si>
    <t>记录排序依据字段调整</t>
  </si>
  <si>
    <t>案件管理-召回中心导入案件</t>
  </si>
  <si>
    <t>不选择文件点击导入在报错点确认后，下面显示栏变化，显示内容不对</t>
  </si>
  <si>
    <t>导入空文件字段无对应错误</t>
  </si>
  <si>
    <t>增加对导入文件的非空判断</t>
  </si>
  <si>
    <t>ServManager/ServWork_Case_Import.aspx</t>
  </si>
  <si>
    <t>选择文件点击导入后，报错如图</t>
  </si>
  <si>
    <t>选择导入模板不匹配的问题</t>
  </si>
  <si>
    <t>导入模版（文件）与选择的类型（召回中心/汽车召回网）不对应时，给出友善提醒“导入模板不正确”</t>
  </si>
  <si>
    <t>案件管理-召回中心-待审核</t>
  </si>
  <si>
    <t>区域技术工程师点击审核后，回到查询界面，待审核单据没重新刷新</t>
  </si>
  <si>
    <t>操作提交后页面未刷新</t>
  </si>
  <si>
    <t>调整/增加操作提交刷新功能</t>
  </si>
  <si>
    <t xml:space="preserve">导入案件后，点击创建案件，在案件内容中未填写业务类型，点击移交成功，没有提示必填项未填
案件编号： A201903130012 </t>
  </si>
  <si>
    <t>从“导入案件”页面创建案件业务类型取消必填限制</t>
  </si>
  <si>
    <t>操作前增加相关非空判断</t>
  </si>
  <si>
    <t>案件管理-召回中心-查询</t>
  </si>
  <si>
    <t xml:space="preserve">区域技术工程师未做任何处理直接点移交后，在经销商服务经理界面点击案件流程，技术分析内容中显示有处理内容。技术分析和实际操作内容不符。
案件编号： A201903130012 </t>
  </si>
  <si>
    <t>技术分析内容是否可填写需做判断，以第148条需求为准</t>
  </si>
  <si>
    <t>按第148条需求内容调整</t>
  </si>
  <si>
    <t>案件管理-召回中心-案件详细</t>
  </si>
  <si>
    <t>关联附件只能下载查看，不能直接打开附件查看内容</t>
  </si>
  <si>
    <t>1、字段“技术分析”内容显示按各小标题（字段）逐条显示
附件支持直接打开</t>
  </si>
  <si>
    <t xml:space="preserve"> </t>
  </si>
  <si>
    <t>1、页面“技术分析”字段显示样式调整
2、附件增加支持“打开”功能</t>
  </si>
  <si>
    <t>ServManager/ServWorkShow_Case.aspx</t>
  </si>
  <si>
    <t>案件管理-召回中心-创建案件</t>
  </si>
  <si>
    <t>业务来源取消“召回中心、汽车召回网”</t>
  </si>
  <si>
    <t>“业务来源”下拉项取消“召回中心、汽车召回网”</t>
  </si>
  <si>
    <t>下拉项“召回中心、汽车召回网”去除</t>
  </si>
  <si>
    <t>案件管理-召回中心-导入案件</t>
  </si>
  <si>
    <t>主页面显示太丑，1厘米的高度</t>
  </si>
  <si>
    <t>导入案件页面因字段较多显示排列拥挤</t>
  </si>
  <si>
    <t>记录显示设置为横向滚动</t>
  </si>
  <si>
    <t>导入案件-创建案建的“业务来源”取消企业信箱、质监局</t>
  </si>
  <si>
    <t>从“导入案件”页面创建案件页面业务来源下拉项去除“企业信箱，质监局”</t>
  </si>
  <si>
    <t>下拉项“企业信箱，质监局”去除</t>
  </si>
  <si>
    <t>导入案件-创建案建的“业务来源”，根据导入的选项，自动显示召回中心或汽车召回网</t>
  </si>
  <si>
    <t>从“导入案件”页面创建案件页面内业务来源下拉项需根据操作自动绑定对应</t>
  </si>
  <si>
    <t>影响数据对应</t>
  </si>
  <si>
    <t>判断创建案件（导入案件）的方式（召回中心/汽车召回网）对应绑定业务来源下拉项</t>
  </si>
  <si>
    <t>受理内容、处理内容删除，直接显示移交</t>
  </si>
  <si>
    <t>从“导入案件”页面创建案件，隐藏受理、处理内容录入框</t>
  </si>
  <si>
    <t>录入框设置隐藏</t>
  </si>
  <si>
    <t>案件管理-召回中心-待办</t>
  </si>
  <si>
    <t>技术工程师首页第一个框显示待办数量和处理中的数量</t>
  </si>
  <si>
    <t>左侧菜单除（创建、查询、关闭），各菜单文字右侧显示对应的应处理数量</t>
  </si>
  <si>
    <t>根据业务状态及其他判定条件读取对应数量，绑定对应菜单并显示</t>
  </si>
  <si>
    <t>1、缺陷描述的框放最下面，放大，内容字体标红
2、“导入案件（召回中心）详情”方框的显示方式改成一张表，不占用地方，显示完整
3、“导入案件（召回中心）详情”与下方图片的字段有重复，删除“导入案件（召回中心）详情”的重复字段。</t>
  </si>
  <si>
    <t xml:space="preserve">如下截图案件导入字段显示方式调整
</t>
  </si>
  <si>
    <t>1、案件导入字段显示格式调整为“表格”形式（个别字段无需显示，参考：邮件：）
2、字段“缺陷描述”显示位置为第一列</t>
  </si>
  <si>
    <t>案件管理-召回中心-案件查询</t>
  </si>
  <si>
    <t>导出EXCEL的格式修改，加投诉处理情况、故障技术分析的细项内容、回访满意度</t>
  </si>
  <si>
    <t>1、案件记录显示字段增加：舆情等级（一级、二级、三级、四级），在创建案件页面手动选择；
2、案件记录显示增加“问题描述”
3、导出excel，凡业务来源为“召回中心”的，需带出技术分析填写的所有字段
4、无回访满意度</t>
  </si>
  <si>
    <t>1、案件记录显示增加字段“问题描述”
2、案件创建页面增加字段“舆情等级”
3、导出excel功能根据业务来源（仅针对召回中心）后台判断补齐“技术分析”所有相关字段</t>
  </si>
  <si>
    <t>案件管理-召回中心-创建/查询/已处理</t>
  </si>
  <si>
    <t>“导入案件（召回中心）详情”改成“召回中心投诉记录”</t>
  </si>
  <si>
    <t>标题文字名称调整</t>
  </si>
  <si>
    <t>1、标题文字名称变更
2、案件记录横向滚动显示</t>
  </si>
  <si>
    <t>经销商处理人设必填项</t>
  </si>
  <si>
    <t>输入框必填判断</t>
  </si>
  <si>
    <t>影响数据</t>
  </si>
  <si>
    <t>输入框增加非空判断</t>
  </si>
  <si>
    <t>经销商处理情况和技术分析都设为必填项</t>
  </si>
  <si>
    <t>是否有技术服务公告“点”是“要跳出一个填写技术服务公告编号的框</t>
  </si>
  <si>
    <t>需填写的“技术分析”板块内字段“是否有技术服务公告”，选择“是”，增加技术公告输入框</t>
  </si>
  <si>
    <t>判断所选项隐藏/显示“技术服务公告编号”输入框（该编号唯一）</t>
  </si>
  <si>
    <t>判断无关联工单时，区域技术工程师能直接填写”处理情况和技术分析“的信息，并且能移交，不合理。</t>
  </si>
  <si>
    <t>流程该环节操作需填内容对应有误</t>
  </si>
  <si>
    <t>影响流程操作</t>
  </si>
  <si>
    <t>根据是否关联工单判断：
1、关联工单：案件流转至技术工程师后，由其填写技术分析全内容
2、不关联工单：案件流转至技术工程师（技术分析无需填写），经销商填写技术分析后，技术工程师审单时需显示全字段（案件详情页）
3、对应环节工单详情页增加“技术分析”相关字段的内容显示</t>
  </si>
  <si>
    <t>处理情况-是否申请延期删除</t>
  </si>
  <si>
    <t>字段去除</t>
  </si>
  <si>
    <t>“技术分析”填写板块内字段“是否申请延期”去除</t>
  </si>
  <si>
    <t>经销进入界面后，以下全部删除，只显示领单，领单后跳出界面。</t>
  </si>
  <si>
    <t>1、“技术分析”板块显示/隐藏依据可参考第152条的“问题解决办法”
2、详情页面默认隐藏“技术分析”板块，领单后再显示</t>
  </si>
  <si>
    <t>经销商主界面要有退回单，在主界面显示在哪里？</t>
  </si>
  <si>
    <t>判断当前登录角色（为经销商）在主页面增加“退回”板块</t>
  </si>
  <si>
    <t>主页面（经销商登录）增加板块“退回量”（含：案件、工单退回量）</t>
  </si>
  <si>
    <t>忘记关联工单直接点移交了，应该能实现在下一执行人未操作前能删除该工单。</t>
  </si>
  <si>
    <t>操作增加友善提醒功能</t>
  </si>
  <si>
    <t>移交操作前提醒是否关联工单（客户有历史工单即给出提醒，反之则不提醒）</t>
  </si>
  <si>
    <t>关联工单状态是未关闭的状态，只显示保存。关联工单状态是关闭的状态，只显示移交</t>
  </si>
  <si>
    <t>根据关联工单业务状态判断</t>
  </si>
  <si>
    <t>案件管理-网络来源—导入案件</t>
  </si>
  <si>
    <t xml:space="preserve">1、导入时间、关联案件等间距较宽；
2、添加删除按钮；
</t>
  </si>
  <si>
    <t>1、记录显示样式调整
2、导入案件记录增加删除功能（权限开放“管理员”角色）</t>
  </si>
  <si>
    <t>1、网络来源导入案件字段显示宽度适当减缩；
2、凡导入案件记录增加删除按钮（权限开放“管理员”角色）</t>
  </si>
  <si>
    <t>导入后电话号码栏显示与实际不符；</t>
  </si>
  <si>
    <t>字段对应有误</t>
  </si>
  <si>
    <t>字段对应调整</t>
  </si>
  <si>
    <t>案件管理-网络来源—查询</t>
  </si>
  <si>
    <t>添加删除按钮；</t>
  </si>
  <si>
    <t>案件记录增加删除功能（权限开放“管理员”角色）</t>
  </si>
  <si>
    <t>凡是案件记录增加删除功能（功能权限开放“管理员”角色）</t>
  </si>
  <si>
    <t>创建案件时手机号码错误未正确流转至CRC协调，而是到呼叫中心；</t>
  </si>
  <si>
    <t>手机号码缺有效验证</t>
  </si>
  <si>
    <t>有效联系方式需验证手机号码、固定电话验证</t>
  </si>
  <si>
    <t>案件管理-网络来源-建单</t>
  </si>
  <si>
    <t>火狐浏览器里业务类型点不动，无法继续创建工单</t>
  </si>
  <si>
    <t>浏览器不兼容</t>
  </si>
  <si>
    <t>影响页面展示及操作</t>
  </si>
  <si>
    <t>ServManager/ServWrite.aspx</t>
  </si>
  <si>
    <t>车型名称需有选项，取消手填的方式，避免填写不统一</t>
  </si>
  <si>
    <t>字段“车型名称”文本框更换为下拉框（数据库内新建一张表用以存放“车型名称”，仅在后台数据库进行维护，不在系统中体现管理功能）</t>
  </si>
  <si>
    <t>字段对应控件变更</t>
  </si>
  <si>
    <t>案件选定业务来源后要同步至建单的业务来源，建单的业务来源确定后，案件的业务来源要随之变化</t>
  </si>
  <si>
    <t>字段“业务来源”跳转“建单”页面未对应至工单创建页面的“业务来源”</t>
  </si>
  <si>
    <t>字段对应绑定调整</t>
  </si>
  <si>
    <t>普通咨询-来电号码/电话号码、姓名、车型是必填项，其它不是必填项</t>
  </si>
  <si>
    <t>必填项判断</t>
  </si>
  <si>
    <t>基础信息必填项修改：
表扬/销售抱怨/销售投诉：必填项为来电号码/手机号码、车型、姓名、经销商名称、经销商代码
抱怨、投诉的服务抱怨投诉/产品抱怨投诉/零件抱怨投诉：必填项为来电号码/手机号码、姓名、经销商名称、经销商代码、底盘号、车型、车牌、购车时间、当前里程
建议/投诉客服：必填项为：来电号码、姓名</t>
  </si>
  <si>
    <t>必填项分情况判断</t>
  </si>
  <si>
    <t>基础信息增加一个购车时间选项，优先系统同步，不能同步的情况下可以手输</t>
  </si>
  <si>
    <t>案件（网络来源）创建页面，客户基本信息标签字段增加</t>
  </si>
  <si>
    <t>增加字段“购车时间”（优先从DMS获取，支持手动录入）</t>
  </si>
  <si>
    <t>非抱怨/投诉的工单，只显示关闭按钮，报怨/投诉的工单，只显示移交</t>
  </si>
  <si>
    <t>咨询、建议。。。普通流程隐藏“移交”按钮</t>
  </si>
  <si>
    <t>在下一环节未处理前，抱怨/投诉的工单可以删除或开启修改。</t>
  </si>
  <si>
    <t>流程该环节（CRC创建工单移交至CRC组长）增加编辑功能</t>
  </si>
  <si>
    <t>CRC创建工单移交至CRC组长（待审核）期间可编辑</t>
  </si>
  <si>
    <t>处理过程、 处理结果、指导内容、 回访内容只有在抱怨或投诉的工单里存在，非抱怨或投诉没这些内容</t>
  </si>
  <si>
    <t>内容显示板块需隐藏</t>
  </si>
  <si>
    <t>影响页面显示</t>
  </si>
  <si>
    <t>根据业务类型判断隐藏</t>
  </si>
  <si>
    <t>案件管理-网络来源-待办</t>
  </si>
  <si>
    <t>1、热线关闭工单后，市场部对接人在待办里不需要处理工单，所以不要处理内容的框
2、市场部对接人建单时，不需要处理内容的框</t>
  </si>
  <si>
    <t>隐藏“处理内容”</t>
  </si>
  <si>
    <t>所有主界面的字段显示完整，可以用往右的滚动条拉，现界面的格式太丑</t>
  </si>
  <si>
    <t>案件记录显示页横向滚动</t>
  </si>
  <si>
    <t>案件流程记录是错的</t>
  </si>
  <si>
    <t>案件（网络来源）该流程不涉及字段“技术分析、是否审核通过、审核备注”，因此，案件流程记录中这些字段需去除</t>
  </si>
  <si>
    <t>案件流程记录页，字段“技术分析、是否审核通过、审核备注”去除</t>
  </si>
  <si>
    <t>热线建单时历史工单是不论是关闭或未关闭的状态，只显示关闭按钮，打回市场部</t>
  </si>
  <si>
    <t>根据关联工单的业务状态判断按钮</t>
  </si>
  <si>
    <t>无效舆情，市场部已处理界面不需要“处理内容”</t>
  </si>
  <si>
    <t xml:space="preserve"> 影响页面显示</t>
  </si>
  <si>
    <t>1、客户信息右侧小图改成“补充客户信息”
2、区域经理补充信息时，输入手机号/VIN/车牌能有”查询“按钮，直接同步DMS数据
3、区域经理补充信息界面取消来电号码，客户编号取消必填
4、区域经理案件信息不需有要修改权限
5、无法确认原因：/填写无法确认原因：改成：未补充客户信息：/填写未补充客户信息原因
6、填写处理内容的框里有个灰色提示“已将“客户信息”补充完整”
7、领单前不显示处理内容、无法确认原因，只显示领单，领单后再显示处理内容、无法确认原因
8、领单前不能补充客户信息，如果点了按钮要提示先领单
9、客户信息没修改前，不显示移交按钮，只显示已处理
10、待办界面澄现不直观，改成：客户信息、案件信息不可修改，增加一个选项，是否能确定客户信息，点是，跳出现在客户信息右上角图标补充信息，点移交。点否，跳出填写原因的框，点保存。</t>
  </si>
  <si>
    <t>增加判断项：是否能确定客户信息（是/否）。“是”显示修改客户信息的图标（即：补充客户信息），移交可点（已处理禁点）。“否”显示并填写无法确认原因，已处理可点（移交禁点）</t>
  </si>
  <si>
    <t>案件管理-网络来源-查询</t>
  </si>
  <si>
    <t>市场部对接人查询页面显示字段增加一个关闭备注。</t>
  </si>
  <si>
    <t>案件记录字段增加显示：关闭备注、问题描述</t>
  </si>
  <si>
    <t>任娟</t>
  </si>
  <si>
    <t>案件管理-网络来源-创建</t>
  </si>
  <si>
    <t>1、 业务类型无法定义到细化类目的子级菜单，原因主要有1客户在投诉时描述不清楚问题，因为客户也不是专业的，不能精准定位问题的原因；
2客户对多个原因进行投诉，结果只能单选；
3、客户提出的投诉原因在子菜单里找不到</t>
  </si>
  <si>
    <t>取消业务类型必填判断</t>
  </si>
  <si>
    <t xml:space="preserve">客户必填信息字段；与前期沟通不一致，前期沟通为,只填写电话号码或经销商代码，还请再确认一下
</t>
  </si>
  <si>
    <t>1、业务来源（车质网、汽车投诉），对应手机号码必填
2、业务来源（微博、论坛、微信），对应经销商代码/名称必填</t>
  </si>
  <si>
    <t>关联工单--未找到可管理的工单
暂未测试</t>
  </si>
  <si>
    <t>以“CRC协调”账号登录测试创建案件</t>
  </si>
  <si>
    <t>批量导入：开发技术人员反馈无此功能，但前期沟通是有该功能的，并且还提交了相关的模板，希望能再次确认该项功能</t>
  </si>
  <si>
    <t>从“导入案件”页面内创建案件，带入所有导入字段至客户信息（含业务来源）</t>
  </si>
  <si>
    <t>语音工作时间</t>
  </si>
  <si>
    <t>工作时间需要调整时，工作/非工作时间需要设定多条不合理，改成只要录入一条
例:
后台设定固定人工时间为8:30-19:00，非人工时间19:01-次日8:30，如当天17:30-19:00要开会，系统要设定三条记录:工作时间:8:30-17:30，非工作时间:17:31-0:00，0:00-次日8:30
改成：非工作时间:当天17:30-19:00</t>
  </si>
  <si>
    <t>系统管理--语音工作时间</t>
  </si>
  <si>
    <t>新增的时间要置顶，现未置顶</t>
  </si>
  <si>
    <t>主界面表头加个操作人</t>
  </si>
  <si>
    <t>添加语音工作时间，标志默认为“非工作”</t>
  </si>
  <si>
    <t>添加信息时或修改信息时按钮应该显示保存，不要显示转换</t>
  </si>
  <si>
    <t>系统管理-夜间IVR--产品信息</t>
  </si>
  <si>
    <t>产品信息维护-IVR按键信息、IVR按键序号按升序显示</t>
  </si>
  <si>
    <t>导出EXCEL的 ID列换成IVR按键</t>
  </si>
  <si>
    <t>添加经销商信息时按钮应显示保存，不是转换（按钮文字）</t>
  </si>
  <si>
    <t>添加经销商信息时，应该不允许重复信息录入</t>
  </si>
  <si>
    <t>主界面字段加个序号</t>
  </si>
  <si>
    <t>手动添加的经销商信息要置顶显示</t>
  </si>
  <si>
    <t>主界面加一个字段，可以全选可多选</t>
  </si>
  <si>
    <t>每一次导入记录（重复记录更新）</t>
  </si>
  <si>
    <t>导出EXCEL的 ID列换成序号</t>
  </si>
  <si>
    <t>修改产品信息时：提示如下图，要求同时修改IVR按键才可以。</t>
  </si>
  <si>
    <t>甘晓敏</t>
  </si>
  <si>
    <t>系统管理-夜间IVR--产品信息/经销商信息维护</t>
  </si>
  <si>
    <t>添加产品信息后应按时间顺序置顶</t>
  </si>
  <si>
    <t>添加客户-新增客户资料，取消来电号码、客户编号的必填项</t>
  </si>
  <si>
    <t>工单管理-重大客诉-创建</t>
  </si>
  <si>
    <t>不应该可以创建多条同样的工单</t>
  </si>
  <si>
    <r>
      <rPr>
        <sz val="8"/>
        <rFont val="微软雅黑"/>
        <charset val="134"/>
      </rPr>
      <t>ServManager/ServW</t>
    </r>
    <r>
      <rPr>
        <sz val="8"/>
        <rFont val="微软雅黑"/>
        <charset val="134"/>
      </rPr>
      <t>rite</t>
    </r>
    <r>
      <rPr>
        <sz val="8"/>
        <rFont val="微软雅黑"/>
        <charset val="134"/>
      </rPr>
      <t>.aspx</t>
    </r>
  </si>
  <si>
    <t>工单管理-重大客诉-待审核</t>
  </si>
  <si>
    <t>CRC组长审单时，工单信息编辑内“受理内容”的框调大</t>
  </si>
  <si>
    <t>CRC组长待审核，工单编辑页面，字段“受理内容”输入框高度调高</t>
  </si>
  <si>
    <t>ServManager/ServWork.aspx
ServManager/ServWorkShow_Edit.aspx</t>
  </si>
  <si>
    <t>CRC组长审单时，“受理内容”的字居中显示</t>
  </si>
  <si>
    <t>CRC组长待审核，工单编辑页面，字段“受理内容”文字位置调整</t>
  </si>
  <si>
    <t>座席“保存”上方要增加一个判断项，是否要移交经销商，点是出现移交的案钮，点否出现关闭的案钮。
原因：15号会议质量部提出：在跟进投诉网站的投诉时，确定是产品类的问题记为投诉直接关单。</t>
  </si>
  <si>
    <t>CRC创建工单页面，增加字段“是否移交经销商”，选择“是”，保存按钮可点（关闭不可点）；选择“否”，关闭按钮可点（保存不可点）</t>
  </si>
  <si>
    <t>工单管理-重大客诉-待办</t>
  </si>
  <si>
    <t>“受理内容”改成“客户来访内容”</t>
  </si>
  <si>
    <t>字段“受理内容”文字变更</t>
  </si>
  <si>
    <t>ServManager/ServWorkShow.aspx</t>
  </si>
  <si>
    <t>“处理内容”改成“热线记录内容”</t>
  </si>
  <si>
    <t>字段“处理内容”文字变更</t>
  </si>
  <si>
    <t>CRC组长，“经销商状态”放在经销商名称后面</t>
  </si>
  <si>
    <t>CRC组长待审核页面，字段“经销商状态”位置调整（放至“客户信息”板块，字段“经销商名称”之后）</t>
  </si>
  <si>
    <t>组长审核：不显示“处理内容”的白框，显示同“处理内容”一样</t>
  </si>
  <si>
    <t>CRC组长待审核页面，隐藏“填写处理内容”，显示“处理内容”</t>
  </si>
  <si>
    <t>编辑工单信息界面，增加一个“处理内容”的信息</t>
  </si>
  <si>
    <t>CRC组长待审核，编辑工单页面增加字段“处理内容”（该字段可修改）</t>
  </si>
  <si>
    <t>“处理过程、处理结果”改成“经销商处理过程、经销商处理结果”</t>
  </si>
  <si>
    <t>字段“处理过程、处理结果”文字变更</t>
  </si>
  <si>
    <t>“处理内容”即“热线记录内容”经销商不可以修改，显示供查看</t>
  </si>
  <si>
    <t>当字段“处理内容”文字变更为“热线记录内容”后，所有相关详情页仅做显示，不可录入</t>
  </si>
  <si>
    <t>“热线记录内容”放在“受理内容”下方</t>
  </si>
  <si>
    <t>字段“热线记录内容”（原：处理内容）位置调整</t>
  </si>
  <si>
    <t>“客户是否接受”放在“处理人”上面</t>
  </si>
  <si>
    <t>字段“客户是否接受”位置调整</t>
  </si>
  <si>
    <t>有处理方案，但客户不接受，保留记录可以点“移交”（现无"移交"按钮）</t>
  </si>
  <si>
    <t>领单前，"有无处理方案"下方的页面全部隐藏，领单后再显示</t>
  </si>
  <si>
    <t>领单操作前页面可录入字段的显示/隐藏控制</t>
  </si>
  <si>
    <t>工单管理-重大客诉-已处理</t>
  </si>
  <si>
    <t>点击至主页面无法看到经销商填写的处理过程和处理结果。</t>
  </si>
  <si>
    <t>工单详情页面增加显示字段“经销商处理过程、经销商处理结果”（原：处理过程、处理结果）</t>
  </si>
  <si>
    <t>工单管理-重大客诉-关闭</t>
  </si>
  <si>
    <t>取消“回访内容”的框，重大客诉没有回访</t>
  </si>
  <si>
    <t>针对“重大客诉”工单详情页去除字段“回访内容”（因：重大客诉没有回访）</t>
  </si>
  <si>
    <t>工单管理-重大客诉-处理中</t>
  </si>
  <si>
    <t>已处理界面：经销商服务经理、技术工程师、服务业务经理、大区经理、总监，取消“填写处理内容”的框</t>
  </si>
  <si>
    <t>因字段“处理内容”文字变更为“热线记录内容”后，所有相关工单详情页，仅做显示，不可录入</t>
  </si>
  <si>
    <t>技术工程师界面，处理内容要、经销商提交的处理过程、处理结果要能查看到，但不能修改</t>
  </si>
  <si>
    <t xml:space="preserve">技术工程师界面，不应该能多次移交
</t>
  </si>
  <si>
    <t>服务业务经理：有无处理方案选项不应该显示，相应的内容也不该本岗位填写</t>
  </si>
  <si>
    <t>工单所经流程中相关的内容显示于工单详情页</t>
  </si>
  <si>
    <t>服务业务经理：应该能看到所有前面操作的来访内容、处理内容、处理经过、处理结果、指导内容。</t>
  </si>
  <si>
    <t>服务业务经理：只需要一个填写“指导内容”的框</t>
  </si>
  <si>
    <t>经销商服务经理：应该能看到前面操作的来访内容、处理内容、指导内容。</t>
  </si>
  <si>
    <t>“客户是否接受”放在“指导内容”下方</t>
  </si>
  <si>
    <t>经销商“客户是否接受”点否，处理过程、处理结果、处理人、结果不变灰，应正常可以填写。</t>
  </si>
  <si>
    <t>开放字段可输入</t>
  </si>
  <si>
    <t>区域业务经理看不到经销商二次谈判登记的处理过程、处理内容记录和先前的所有记录</t>
  </si>
  <si>
    <t>大区经理：应该能看到所有前面操作的来访内容、处理内容、处理经过、处理结果、指导内容。</t>
  </si>
  <si>
    <t>大区经理：只需要一个填写“指导内容”的框</t>
  </si>
  <si>
    <t>总监没有不需要处理内容的框</t>
  </si>
  <si>
    <t>总监应该能看到所有前面操作的来访内容、处理内容、处理经过、处理结果、指导内容。</t>
  </si>
  <si>
    <t>工单管理-重大客诉-查询</t>
  </si>
  <si>
    <t>来访内容、处理内容、处理经过、处理结果、指导内容中的记录间隔不要太宽，从上往下靠紧</t>
  </si>
  <si>
    <t>工单管理-重大客诉-查询/已处理</t>
  </si>
  <si>
    <t>工单流程中，大区后续执行的流程消失</t>
  </si>
  <si>
    <t>例工单：G201903210003，工单详情页“工单流程”记录有缺失</t>
  </si>
  <si>
    <t>工单管理-查询/待办/关闭等</t>
  </si>
  <si>
    <t>主界面表格字段增加：问题描述、热线记录内容、经销商处理过程、经销商处理结果、区域指导</t>
  </si>
  <si>
    <t>工单记录页增加显示字段“问题描述、热线记录内容（原：处理内容）、经销商处理过程（原：处理过程）、经销商处理结果（原：处理结果）、区域指导（即：指导内容）”</t>
  </si>
  <si>
    <t>工单管理-重大客诉-处理工单</t>
  </si>
  <si>
    <t>历史工单：该处只要有关联的工单显示底色并置顶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</si>
</sst>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41">
    <font>
      <sz val="11"/>
      <color theme="1"/>
      <name val="宋体"/>
      <charset val="134"/>
      <scheme val="minor"/>
    </font>
    <font>
      <sz val="8"/>
      <name val="微软雅黑"/>
      <charset val="134"/>
    </font>
    <font>
      <b/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b/>
      <sz val="8"/>
      <color rgb="FFFF0000"/>
      <name val="微软雅黑"/>
      <charset val="134"/>
    </font>
    <font>
      <b/>
      <sz val="11"/>
      <color rgb="FFFF0000"/>
      <name val="宋体"/>
      <charset val="134"/>
      <scheme val="minor"/>
    </font>
    <font>
      <sz val="8"/>
      <color theme="1"/>
      <name val="微软雅黑"/>
      <charset val="134"/>
    </font>
    <font>
      <sz val="8"/>
      <color indexed="17"/>
      <name val="微软雅黑"/>
      <charset val="134"/>
    </font>
    <font>
      <sz val="8"/>
      <color rgb="FFFF0000"/>
      <name val="微软雅黑"/>
      <charset val="134"/>
    </font>
    <font>
      <b/>
      <sz val="9"/>
      <name val="微软雅黑"/>
      <charset val="134"/>
    </font>
    <font>
      <b/>
      <sz val="8"/>
      <color rgb="FF00B050"/>
      <name val="微软雅黑"/>
      <charset val="134"/>
    </font>
    <font>
      <b/>
      <sz val="9"/>
      <color rgb="FFFF0000"/>
      <name val="微软雅黑"/>
      <charset val="134"/>
    </font>
    <font>
      <b/>
      <sz val="8"/>
      <name val="微软雅黑"/>
      <charset val="134"/>
    </font>
    <font>
      <b/>
      <sz val="8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楷体"/>
      <charset val="134"/>
    </font>
    <font>
      <b/>
      <sz val="11"/>
      <color theme="1"/>
      <name val="微软雅黑"/>
      <charset val="134"/>
    </font>
    <font>
      <sz val="11"/>
      <name val="ＭＳ ゴシック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8"/>
      <name val="宋体"/>
      <charset val="134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3" tint="0.79989013336588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auto="1"/>
      </bottom>
      <diagonal/>
    </border>
    <border>
      <left style="thin">
        <color indexed="23"/>
      </left>
      <right/>
      <top style="thin">
        <color indexed="23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4" fillId="19" borderId="2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5" borderId="21" applyNumberFormat="0" applyFont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34" fillId="34" borderId="23" applyNumberFormat="0" applyAlignment="0" applyProtection="0">
      <alignment vertical="center"/>
    </xf>
    <xf numFmtId="0" fontId="35" fillId="34" borderId="20" applyNumberFormat="0" applyAlignment="0" applyProtection="0">
      <alignment vertical="center"/>
    </xf>
    <xf numFmtId="0" fontId="36" fillId="37" borderId="24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7" fillId="0" borderId="25" applyNumberFormat="0" applyFill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6" fillId="0" borderId="0"/>
    <xf numFmtId="0" fontId="20" fillId="27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9" fillId="0" borderId="0">
      <alignment vertical="center"/>
    </xf>
    <xf numFmtId="0" fontId="20" fillId="32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162">
    <xf numFmtId="0" fontId="0" fillId="0" borderId="0" xfId="0">
      <alignment vertical="center"/>
    </xf>
    <xf numFmtId="0" fontId="1" fillId="2" borderId="0" xfId="45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3" borderId="1" xfId="45" applyFont="1" applyFill="1" applyBorder="1" applyAlignment="1">
      <alignment horizontal="left" vertical="center" wrapText="1"/>
    </xf>
    <xf numFmtId="0" fontId="4" fillId="3" borderId="1" xfId="45" applyFont="1" applyFill="1" applyBorder="1" applyAlignment="1">
      <alignment horizontal="left" vertical="center" wrapText="1"/>
    </xf>
    <xf numFmtId="0" fontId="1" fillId="3" borderId="1" xfId="45" applyNumberFormat="1" applyFont="1" applyFill="1" applyBorder="1" applyAlignment="1">
      <alignment horizontal="left" vertical="center" wrapText="1"/>
    </xf>
    <xf numFmtId="14" fontId="1" fillId="3" borderId="1" xfId="45" applyNumberFormat="1" applyFont="1" applyFill="1" applyBorder="1" applyAlignment="1">
      <alignment horizontal="left" vertical="center" wrapText="1"/>
    </xf>
    <xf numFmtId="14" fontId="4" fillId="3" borderId="1" xfId="45" applyNumberFormat="1" applyFont="1" applyFill="1" applyBorder="1" applyAlignment="1">
      <alignment horizontal="left" vertical="center" wrapText="1"/>
    </xf>
    <xf numFmtId="0" fontId="1" fillId="3" borderId="1" xfId="45" applyFont="1" applyFill="1" applyBorder="1" applyAlignment="1" applyProtection="1">
      <alignment horizontal="left" vertical="center" wrapText="1"/>
    </xf>
    <xf numFmtId="14" fontId="4" fillId="3" borderId="2" xfId="45" applyNumberFormat="1" applyFont="1" applyFill="1" applyBorder="1" applyAlignment="1">
      <alignment horizontal="left" vertical="center" wrapText="1"/>
    </xf>
    <xf numFmtId="14" fontId="4" fillId="3" borderId="3" xfId="45" applyNumberFormat="1" applyFont="1" applyFill="1" applyBorder="1" applyAlignment="1">
      <alignment horizontal="left" vertical="center" wrapText="1"/>
    </xf>
    <xf numFmtId="14" fontId="1" fillId="3" borderId="4" xfId="45" applyNumberFormat="1" applyFont="1" applyFill="1" applyBorder="1" applyAlignment="1">
      <alignment horizontal="left" vertical="center" wrapText="1"/>
    </xf>
    <xf numFmtId="14" fontId="4" fillId="3" borderId="3" xfId="0" applyNumberFormat="1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1" fillId="3" borderId="3" xfId="45" applyFont="1" applyFill="1" applyBorder="1" applyAlignment="1">
      <alignment horizontal="left" vertical="center" wrapText="1"/>
    </xf>
    <xf numFmtId="14" fontId="1" fillId="3" borderId="3" xfId="45" applyNumberFormat="1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/>
    </xf>
    <xf numFmtId="43" fontId="1" fillId="3" borderId="1" xfId="8" applyFont="1" applyFill="1" applyBorder="1" applyAlignment="1">
      <alignment horizontal="left" vertical="center" wrapText="1"/>
    </xf>
    <xf numFmtId="0" fontId="6" fillId="3" borderId="1" xfId="45" applyFont="1" applyFill="1" applyBorder="1" applyAlignment="1">
      <alignment horizontal="left" vertical="center" wrapText="1"/>
    </xf>
    <xf numFmtId="0" fontId="7" fillId="3" borderId="1" xfId="45" applyNumberFormat="1" applyFont="1" applyFill="1" applyBorder="1" applyAlignment="1">
      <alignment horizontal="left" vertical="center" wrapText="1"/>
    </xf>
    <xf numFmtId="0" fontId="4" fillId="3" borderId="1" xfId="45" applyNumberFormat="1" applyFont="1" applyFill="1" applyBorder="1" applyAlignment="1">
      <alignment horizontal="left" vertical="center" wrapText="1"/>
    </xf>
    <xf numFmtId="14" fontId="7" fillId="3" borderId="4" xfId="45" applyNumberFormat="1" applyFont="1" applyFill="1" applyBorder="1" applyAlignment="1">
      <alignment horizontal="left" vertical="center" wrapText="1"/>
    </xf>
    <xf numFmtId="14" fontId="1" fillId="3" borderId="4" xfId="45" applyNumberFormat="1" applyFont="1" applyFill="1" applyBorder="1" applyAlignment="1" applyProtection="1">
      <alignment horizontal="left" vertical="center" wrapText="1"/>
    </xf>
    <xf numFmtId="14" fontId="1" fillId="3" borderId="3" xfId="45" applyNumberFormat="1" applyFont="1" applyFill="1" applyBorder="1" applyAlignment="1" applyProtection="1">
      <alignment horizontal="left" vertical="center" wrapText="1"/>
    </xf>
    <xf numFmtId="14" fontId="1" fillId="4" borderId="4" xfId="45" applyNumberFormat="1" applyFont="1" applyFill="1" applyBorder="1" applyAlignment="1">
      <alignment horizontal="left" vertical="center" wrapText="1"/>
    </xf>
    <xf numFmtId="14" fontId="6" fillId="4" borderId="4" xfId="45" applyNumberFormat="1" applyFont="1" applyFill="1" applyBorder="1" applyAlignment="1">
      <alignment horizontal="left" vertical="center" wrapText="1"/>
    </xf>
    <xf numFmtId="14" fontId="1" fillId="4" borderId="4" xfId="45" applyNumberFormat="1" applyFont="1" applyFill="1" applyBorder="1" applyAlignment="1" applyProtection="1">
      <alignment horizontal="left" vertical="center" wrapText="1"/>
    </xf>
    <xf numFmtId="0" fontId="4" fillId="3" borderId="2" xfId="45" applyNumberFormat="1" applyFont="1" applyFill="1" applyBorder="1" applyAlignment="1">
      <alignment horizontal="left" vertical="center" wrapText="1"/>
    </xf>
    <xf numFmtId="0" fontId="4" fillId="3" borderId="3" xfId="45" applyNumberFormat="1" applyFont="1" applyFill="1" applyBorder="1" applyAlignment="1">
      <alignment horizontal="left" vertical="center" wrapText="1"/>
    </xf>
    <xf numFmtId="0" fontId="4" fillId="3" borderId="0" xfId="45" applyNumberFormat="1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/>
    </xf>
    <xf numFmtId="14" fontId="6" fillId="3" borderId="3" xfId="45" applyNumberFormat="1" applyFont="1" applyFill="1" applyBorder="1" applyAlignment="1">
      <alignment horizontal="left" vertical="center" wrapText="1"/>
    </xf>
    <xf numFmtId="14" fontId="6" fillId="3" borderId="4" xfId="45" applyNumberFormat="1" applyFont="1" applyFill="1" applyBorder="1" applyAlignment="1">
      <alignment horizontal="left" vertical="center" wrapText="1"/>
    </xf>
    <xf numFmtId="14" fontId="6" fillId="3" borderId="4" xfId="45" applyNumberFormat="1" applyFont="1" applyFill="1" applyBorder="1" applyAlignment="1" applyProtection="1">
      <alignment horizontal="left" vertical="center" wrapText="1"/>
    </xf>
    <xf numFmtId="14" fontId="6" fillId="3" borderId="3" xfId="45" applyNumberFormat="1" applyFont="1" applyFill="1" applyBorder="1" applyAlignment="1" applyProtection="1">
      <alignment horizontal="left" vertical="center" wrapText="1"/>
    </xf>
    <xf numFmtId="0" fontId="1" fillId="3" borderId="4" xfId="45" applyNumberFormat="1" applyFont="1" applyFill="1" applyBorder="1" applyAlignment="1">
      <alignment horizontal="left" vertical="center" wrapText="1"/>
    </xf>
    <xf numFmtId="0" fontId="1" fillId="3" borderId="5" xfId="45" applyNumberFormat="1" applyFont="1" applyFill="1" applyBorder="1" applyAlignment="1">
      <alignment horizontal="left" vertical="center" wrapText="1"/>
    </xf>
    <xf numFmtId="14" fontId="8" fillId="3" borderId="4" xfId="45" applyNumberFormat="1" applyFont="1" applyFill="1" applyBorder="1" applyAlignment="1">
      <alignment horizontal="left" vertical="center" wrapText="1"/>
    </xf>
    <xf numFmtId="0" fontId="6" fillId="3" borderId="5" xfId="45" applyFont="1" applyFill="1" applyBorder="1" applyAlignment="1">
      <alignment horizontal="left" vertical="center" wrapText="1"/>
    </xf>
    <xf numFmtId="14" fontId="8" fillId="3" borderId="4" xfId="45" applyNumberFormat="1" applyFont="1" applyFill="1" applyBorder="1" applyAlignment="1" applyProtection="1">
      <alignment horizontal="left" vertical="center" wrapText="1"/>
    </xf>
    <xf numFmtId="0" fontId="8" fillId="3" borderId="1" xfId="45" applyNumberFormat="1" applyFont="1" applyFill="1" applyBorder="1" applyAlignment="1">
      <alignment horizontal="left" vertical="center" wrapText="1"/>
    </xf>
    <xf numFmtId="14" fontId="8" fillId="3" borderId="1" xfId="45" applyNumberFormat="1" applyFont="1" applyFill="1" applyBorder="1" applyAlignment="1">
      <alignment horizontal="left" vertical="center" wrapText="1"/>
    </xf>
    <xf numFmtId="0" fontId="6" fillId="3" borderId="3" xfId="45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 wrapText="1"/>
    </xf>
    <xf numFmtId="14" fontId="9" fillId="3" borderId="3" xfId="45" applyNumberFormat="1" applyFont="1" applyFill="1" applyBorder="1" applyAlignment="1" applyProtection="1">
      <alignment horizontal="left" vertical="center" wrapText="1"/>
    </xf>
    <xf numFmtId="0" fontId="1" fillId="5" borderId="3" xfId="45" applyFont="1" applyFill="1" applyBorder="1" applyAlignment="1">
      <alignment horizontal="left" vertical="center" wrapText="1"/>
    </xf>
    <xf numFmtId="14" fontId="8" fillId="3" borderId="3" xfId="45" applyNumberFormat="1" applyFont="1" applyFill="1" applyBorder="1" applyAlignment="1">
      <alignment horizontal="left" vertical="center" wrapText="1"/>
    </xf>
    <xf numFmtId="14" fontId="1" fillId="5" borderId="3" xfId="45" applyNumberFormat="1" applyFont="1" applyFill="1" applyBorder="1" applyAlignment="1">
      <alignment horizontal="left" vertical="center" wrapText="1"/>
    </xf>
    <xf numFmtId="14" fontId="6" fillId="4" borderId="3" xfId="45" applyNumberFormat="1" applyFont="1" applyFill="1" applyBorder="1" applyAlignment="1">
      <alignment horizontal="left" vertical="center" wrapText="1"/>
    </xf>
    <xf numFmtId="14" fontId="10" fillId="5" borderId="3" xfId="45" applyNumberFormat="1" applyFont="1" applyFill="1" applyBorder="1" applyAlignment="1">
      <alignment horizontal="left" vertical="center" wrapText="1"/>
    </xf>
    <xf numFmtId="14" fontId="8" fillId="3" borderId="3" xfId="45" applyNumberFormat="1" applyFont="1" applyFill="1" applyBorder="1" applyAlignment="1" applyProtection="1">
      <alignment horizontal="left" vertical="center" wrapText="1"/>
    </xf>
    <xf numFmtId="14" fontId="1" fillId="4" borderId="3" xfId="45" applyNumberFormat="1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left" vertical="center"/>
    </xf>
    <xf numFmtId="14" fontId="1" fillId="4" borderId="3" xfId="45" applyNumberFormat="1" applyFont="1" applyFill="1" applyBorder="1" applyAlignment="1" applyProtection="1">
      <alignment horizontal="left" vertical="center" wrapText="1"/>
    </xf>
    <xf numFmtId="0" fontId="6" fillId="4" borderId="3" xfId="0" applyFont="1" applyFill="1" applyBorder="1" applyAlignment="1">
      <alignment horizontal="left" vertical="center"/>
    </xf>
    <xf numFmtId="14" fontId="1" fillId="6" borderId="3" xfId="45" applyNumberFormat="1" applyFont="1" applyFill="1" applyBorder="1" applyAlignment="1">
      <alignment horizontal="left" vertical="center" wrapText="1"/>
    </xf>
    <xf numFmtId="14" fontId="10" fillId="3" borderId="3" xfId="45" applyNumberFormat="1" applyFont="1" applyFill="1" applyBorder="1" applyAlignment="1">
      <alignment horizontal="left" vertical="center" wrapText="1"/>
    </xf>
    <xf numFmtId="14" fontId="11" fillId="3" borderId="3" xfId="45" applyNumberFormat="1" applyFont="1" applyFill="1" applyBorder="1" applyAlignment="1">
      <alignment horizontal="left" vertical="center" wrapText="1"/>
    </xf>
    <xf numFmtId="0" fontId="1" fillId="3" borderId="7" xfId="45" applyFont="1" applyFill="1" applyBorder="1" applyAlignment="1">
      <alignment horizontal="left" vertical="center" wrapText="1"/>
    </xf>
    <xf numFmtId="14" fontId="4" fillId="3" borderId="4" xfId="45" applyNumberFormat="1" applyFont="1" applyFill="1" applyBorder="1" applyAlignment="1">
      <alignment horizontal="left" vertical="center" wrapText="1"/>
    </xf>
    <xf numFmtId="14" fontId="12" fillId="3" borderId="1" xfId="45" applyNumberFormat="1" applyFont="1" applyFill="1" applyBorder="1" applyAlignment="1">
      <alignment horizontal="left" vertical="center" wrapText="1"/>
    </xf>
    <xf numFmtId="14" fontId="1" fillId="3" borderId="1" xfId="45" applyNumberFormat="1" applyFont="1" applyFill="1" applyBorder="1" applyAlignment="1" applyProtection="1">
      <alignment horizontal="left" vertical="center" wrapText="1"/>
    </xf>
    <xf numFmtId="0" fontId="12" fillId="3" borderId="1" xfId="45" applyFont="1" applyFill="1" applyBorder="1" applyAlignment="1">
      <alignment horizontal="left" vertical="center" wrapText="1"/>
    </xf>
    <xf numFmtId="0" fontId="1" fillId="3" borderId="1" xfId="45" applyFont="1" applyFill="1" applyBorder="1" applyAlignment="1">
      <alignment horizontal="left" vertical="top" wrapText="1"/>
    </xf>
    <xf numFmtId="0" fontId="1" fillId="7" borderId="1" xfId="45" applyNumberFormat="1" applyFont="1" applyFill="1" applyBorder="1" applyAlignment="1">
      <alignment horizontal="left" vertical="center" wrapText="1"/>
    </xf>
    <xf numFmtId="0" fontId="1" fillId="3" borderId="1" xfId="45" applyFont="1" applyFill="1" applyBorder="1" applyAlignment="1">
      <alignment horizontal="center" vertical="top" wrapText="1"/>
    </xf>
    <xf numFmtId="14" fontId="1" fillId="3" borderId="1" xfId="45" applyNumberFormat="1" applyFont="1" applyFill="1" applyBorder="1" applyAlignment="1">
      <alignment horizontal="left" vertical="top" wrapText="1"/>
    </xf>
    <xf numFmtId="14" fontId="13" fillId="3" borderId="1" xfId="45" applyNumberFormat="1" applyFont="1" applyFill="1" applyBorder="1" applyAlignment="1">
      <alignment horizontal="left" vertical="center" wrapText="1"/>
    </xf>
    <xf numFmtId="0" fontId="0" fillId="3" borderId="3" xfId="0" applyFont="1" applyFill="1" applyBorder="1" applyAlignment="1">
      <alignment horizontal="left" vertical="center"/>
    </xf>
    <xf numFmtId="0" fontId="6" fillId="3" borderId="1" xfId="45" applyNumberFormat="1" applyFont="1" applyFill="1" applyBorder="1" applyAlignment="1">
      <alignment horizontal="left" vertical="center" wrapText="1"/>
    </xf>
    <xf numFmtId="14" fontId="1" fillId="4" borderId="8" xfId="45" applyNumberFormat="1" applyFont="1" applyFill="1" applyBorder="1" applyAlignment="1">
      <alignment horizontal="left" vertical="center" wrapText="1"/>
    </xf>
    <xf numFmtId="14" fontId="1" fillId="3" borderId="9" xfId="45" applyNumberFormat="1" applyFont="1" applyFill="1" applyBorder="1" applyAlignment="1">
      <alignment horizontal="left" vertical="center" wrapText="1"/>
    </xf>
    <xf numFmtId="0" fontId="6" fillId="3" borderId="1" xfId="45" applyFont="1" applyFill="1" applyBorder="1" applyAlignment="1" applyProtection="1">
      <alignment horizontal="left" vertical="center" wrapText="1"/>
    </xf>
    <xf numFmtId="0" fontId="1" fillId="3" borderId="2" xfId="45" applyNumberFormat="1" applyFont="1" applyFill="1" applyBorder="1" applyAlignment="1">
      <alignment horizontal="left" vertical="center" wrapText="1"/>
    </xf>
    <xf numFmtId="0" fontId="4" fillId="3" borderId="8" xfId="45" applyNumberFormat="1" applyFont="1" applyFill="1" applyBorder="1" applyAlignment="1">
      <alignment horizontal="left" vertical="center" wrapText="1"/>
    </xf>
    <xf numFmtId="0" fontId="1" fillId="3" borderId="3" xfId="45" applyNumberFormat="1" applyFont="1" applyFill="1" applyBorder="1" applyAlignment="1">
      <alignment horizontal="left" vertical="center" wrapText="1"/>
    </xf>
    <xf numFmtId="14" fontId="8" fillId="3" borderId="5" xfId="45" applyNumberFormat="1" applyFont="1" applyFill="1" applyBorder="1" applyAlignment="1">
      <alignment horizontal="left" vertical="center" wrapText="1"/>
    </xf>
    <xf numFmtId="14" fontId="1" fillId="3" borderId="10" xfId="45" applyNumberFormat="1" applyFont="1" applyFill="1" applyBorder="1" applyAlignment="1">
      <alignment horizontal="left" vertical="center" wrapText="1"/>
    </xf>
    <xf numFmtId="0" fontId="1" fillId="3" borderId="11" xfId="45" applyNumberFormat="1" applyFont="1" applyFill="1" applyBorder="1" applyAlignment="1">
      <alignment horizontal="left" vertical="center" wrapText="1"/>
    </xf>
    <xf numFmtId="0" fontId="4" fillId="3" borderId="4" xfId="45" applyNumberFormat="1" applyFont="1" applyFill="1" applyBorder="1" applyAlignment="1">
      <alignment horizontal="left" vertical="center" wrapText="1"/>
    </xf>
    <xf numFmtId="14" fontId="1" fillId="3" borderId="12" xfId="45" applyNumberFormat="1" applyFont="1" applyFill="1" applyBorder="1" applyAlignment="1" applyProtection="1">
      <alignment horizontal="left" vertical="center" wrapText="1"/>
    </xf>
    <xf numFmtId="0" fontId="1" fillId="3" borderId="1" xfId="45" applyNumberFormat="1" applyFont="1" applyFill="1" applyBorder="1" applyAlignment="1">
      <alignment vertical="center" wrapText="1"/>
    </xf>
    <xf numFmtId="14" fontId="1" fillId="3" borderId="9" xfId="45" applyNumberFormat="1" applyFont="1" applyFill="1" applyBorder="1" applyAlignment="1">
      <alignment vertical="center" wrapText="1"/>
    </xf>
    <xf numFmtId="0" fontId="4" fillId="3" borderId="1" xfId="45" applyNumberFormat="1" applyFont="1" applyFill="1" applyBorder="1" applyAlignment="1">
      <alignment vertical="center" wrapText="1"/>
    </xf>
    <xf numFmtId="14" fontId="1" fillId="3" borderId="3" xfId="45" applyNumberFormat="1" applyFont="1" applyFill="1" applyBorder="1" applyAlignment="1" applyProtection="1">
      <alignment vertical="center" wrapText="1"/>
    </xf>
    <xf numFmtId="0" fontId="1" fillId="5" borderId="13" xfId="45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11" fillId="3" borderId="3" xfId="0" applyFont="1" applyFill="1" applyBorder="1">
      <alignment vertical="center"/>
    </xf>
    <xf numFmtId="0" fontId="11" fillId="3" borderId="13" xfId="0" applyFont="1" applyFill="1" applyBorder="1">
      <alignment vertical="center"/>
    </xf>
    <xf numFmtId="14" fontId="1" fillId="3" borderId="12" xfId="45" applyNumberFormat="1" applyFont="1" applyFill="1" applyBorder="1" applyAlignment="1">
      <alignment horizontal="left" vertical="center" wrapText="1"/>
    </xf>
    <xf numFmtId="14" fontId="1" fillId="3" borderId="13" xfId="45" applyNumberFormat="1" applyFont="1" applyFill="1" applyBorder="1" applyAlignment="1">
      <alignment horizontal="left" vertical="center" wrapText="1"/>
    </xf>
    <xf numFmtId="14" fontId="1" fillId="5" borderId="13" xfId="45" applyNumberFormat="1" applyFont="1" applyFill="1" applyBorder="1" applyAlignment="1">
      <alignment horizontal="left" vertical="center" wrapText="1"/>
    </xf>
    <xf numFmtId="14" fontId="1" fillId="8" borderId="3" xfId="45" applyNumberFormat="1" applyFont="1" applyFill="1" applyBorder="1" applyAlignment="1" applyProtection="1">
      <alignment horizontal="left" vertical="center" wrapText="1"/>
    </xf>
    <xf numFmtId="0" fontId="0" fillId="9" borderId="0" xfId="0" applyFill="1">
      <alignment vertical="center"/>
    </xf>
    <xf numFmtId="14" fontId="0" fillId="10" borderId="0" xfId="0" applyNumberFormat="1" applyFill="1">
      <alignment vertical="center"/>
    </xf>
    <xf numFmtId="0" fontId="11" fillId="3" borderId="3" xfId="0" applyFont="1" applyFill="1" applyBorder="1" applyAlignment="1">
      <alignment vertical="center" wrapText="1"/>
    </xf>
    <xf numFmtId="14" fontId="8" fillId="3" borderId="3" xfId="45" applyNumberFormat="1" applyFont="1" applyFill="1" applyBorder="1" applyAlignment="1">
      <alignment vertical="center" wrapText="1"/>
    </xf>
    <xf numFmtId="14" fontId="1" fillId="5" borderId="3" xfId="45" applyNumberFormat="1" applyFont="1" applyFill="1" applyBorder="1" applyAlignment="1">
      <alignment vertical="center" wrapText="1"/>
    </xf>
    <xf numFmtId="0" fontId="1" fillId="3" borderId="1" xfId="45" applyFont="1" applyFill="1" applyBorder="1" applyAlignment="1" applyProtection="1">
      <alignment horizontal="left" vertical="top" wrapText="1"/>
    </xf>
    <xf numFmtId="14" fontId="1" fillId="3" borderId="1" xfId="45" applyNumberFormat="1" applyFont="1" applyFill="1" applyBorder="1" applyAlignment="1" applyProtection="1">
      <alignment horizontal="left" vertical="top" wrapText="1"/>
    </xf>
    <xf numFmtId="0" fontId="1" fillId="3" borderId="11" xfId="45" applyFont="1" applyFill="1" applyBorder="1" applyAlignment="1">
      <alignment horizontal="left" vertical="top" wrapText="1"/>
    </xf>
    <xf numFmtId="14" fontId="8" fillId="3" borderId="1" xfId="45" applyNumberFormat="1" applyFont="1" applyFill="1" applyBorder="1" applyAlignment="1">
      <alignment horizontal="left" vertical="top" wrapText="1"/>
    </xf>
    <xf numFmtId="0" fontId="1" fillId="3" borderId="1" xfId="45" applyNumberFormat="1" applyFont="1" applyFill="1" applyBorder="1" applyAlignment="1">
      <alignment horizontal="left" vertical="top" wrapText="1"/>
    </xf>
    <xf numFmtId="14" fontId="1" fillId="3" borderId="1" xfId="45" applyNumberFormat="1" applyFont="1" applyFill="1" applyBorder="1" applyAlignment="1">
      <alignment vertical="center" wrapText="1"/>
    </xf>
    <xf numFmtId="0" fontId="1" fillId="3" borderId="1" xfId="45" applyNumberFormat="1" applyFont="1" applyFill="1" applyBorder="1" applyAlignment="1">
      <alignment vertical="top" wrapText="1"/>
    </xf>
    <xf numFmtId="14" fontId="6" fillId="3" borderId="3" xfId="45" applyNumberFormat="1" applyFont="1" applyFill="1" applyBorder="1" applyAlignment="1">
      <alignment vertical="center" wrapText="1"/>
    </xf>
    <xf numFmtId="14" fontId="1" fillId="3" borderId="3" xfId="45" applyNumberFormat="1" applyFont="1" applyFill="1" applyBorder="1" applyAlignment="1">
      <alignment vertical="center" wrapText="1"/>
    </xf>
    <xf numFmtId="0" fontId="1" fillId="3" borderId="2" xfId="45" applyFont="1" applyFill="1" applyBorder="1" applyAlignment="1">
      <alignment horizontal="left" vertical="top" wrapText="1"/>
    </xf>
    <xf numFmtId="0" fontId="1" fillId="3" borderId="7" xfId="45" applyFont="1" applyFill="1" applyBorder="1" applyAlignment="1">
      <alignment horizontal="left" vertical="top" wrapText="1"/>
    </xf>
    <xf numFmtId="0" fontId="1" fillId="3" borderId="2" xfId="45" applyNumberFormat="1" applyFont="1" applyFill="1" applyBorder="1" applyAlignment="1">
      <alignment vertical="center" wrapText="1"/>
    </xf>
    <xf numFmtId="0" fontId="1" fillId="3" borderId="7" xfId="45" applyNumberFormat="1" applyFont="1" applyFill="1" applyBorder="1" applyAlignment="1">
      <alignment vertical="center" wrapText="1"/>
    </xf>
    <xf numFmtId="0" fontId="1" fillId="3" borderId="11" xfId="45" applyNumberFormat="1" applyFont="1" applyFill="1" applyBorder="1" applyAlignment="1">
      <alignment vertical="center" wrapText="1"/>
    </xf>
    <xf numFmtId="14" fontId="1" fillId="3" borderId="13" xfId="45" applyNumberFormat="1" applyFont="1" applyFill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4" fillId="11" borderId="0" xfId="0" applyFont="1" applyFill="1" applyAlignment="1">
      <alignment vertical="center" wrapText="1"/>
    </xf>
    <xf numFmtId="0" fontId="15" fillId="11" borderId="0" xfId="0" applyFont="1" applyFill="1" applyBorder="1" applyAlignment="1">
      <alignment horizontal="left" vertical="center" wrapText="1"/>
    </xf>
    <xf numFmtId="0" fontId="14" fillId="11" borderId="0" xfId="0" applyFont="1" applyFill="1" applyBorder="1" applyAlignment="1">
      <alignment vertical="center" wrapText="1"/>
    </xf>
    <xf numFmtId="0" fontId="16" fillId="11" borderId="3" xfId="0" applyFont="1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center" vertical="center" wrapText="1"/>
    </xf>
    <xf numFmtId="9" fontId="14" fillId="11" borderId="3" xfId="0" applyNumberFormat="1" applyFont="1" applyFill="1" applyBorder="1" applyAlignment="1">
      <alignment horizontal="center" vertical="center" wrapText="1"/>
    </xf>
    <xf numFmtId="0" fontId="17" fillId="12" borderId="0" xfId="0" applyFont="1" applyFill="1" applyBorder="1" applyAlignment="1">
      <alignment vertical="center" wrapText="1"/>
    </xf>
    <xf numFmtId="0" fontId="14" fillId="12" borderId="0" xfId="0" applyFont="1" applyFill="1" applyAlignment="1">
      <alignment vertical="center" wrapText="1"/>
    </xf>
    <xf numFmtId="9" fontId="14" fillId="12" borderId="0" xfId="0" applyNumberFormat="1" applyFont="1" applyFill="1" applyAlignment="1">
      <alignment vertical="center" wrapText="1"/>
    </xf>
    <xf numFmtId="0" fontId="14" fillId="12" borderId="0" xfId="0" applyFont="1" applyFill="1" applyBorder="1" applyAlignment="1">
      <alignment vertical="center" wrapText="1"/>
    </xf>
    <xf numFmtId="0" fontId="15" fillId="12" borderId="15" xfId="0" applyFont="1" applyFill="1" applyBorder="1" applyAlignment="1">
      <alignment horizontal="left" vertical="center" wrapText="1"/>
    </xf>
    <xf numFmtId="0" fontId="14" fillId="12" borderId="15" xfId="0" applyFont="1" applyFill="1" applyBorder="1" applyAlignment="1">
      <alignment vertical="center" wrapText="1"/>
    </xf>
    <xf numFmtId="9" fontId="14" fillId="12" borderId="0" xfId="0" applyNumberFormat="1" applyFont="1" applyFill="1" applyBorder="1" applyAlignment="1">
      <alignment vertical="center" wrapText="1"/>
    </xf>
    <xf numFmtId="0" fontId="14" fillId="12" borderId="13" xfId="0" applyFont="1" applyFill="1" applyBorder="1" applyAlignment="1">
      <alignment horizontal="center" vertical="center" wrapText="1"/>
    </xf>
    <xf numFmtId="9" fontId="14" fillId="12" borderId="13" xfId="0" applyNumberFormat="1" applyFont="1" applyFill="1" applyBorder="1" applyAlignment="1">
      <alignment horizontal="center" vertical="center" wrapText="1"/>
    </xf>
    <xf numFmtId="0" fontId="14" fillId="12" borderId="3" xfId="0" applyFont="1" applyFill="1" applyBorder="1" applyAlignment="1">
      <alignment horizontal="center" vertical="center" wrapText="1"/>
    </xf>
    <xf numFmtId="0" fontId="14" fillId="12" borderId="12" xfId="0" applyFont="1" applyFill="1" applyBorder="1" applyAlignment="1">
      <alignment horizontal="center" vertical="center" wrapText="1"/>
    </xf>
    <xf numFmtId="9" fontId="14" fillId="12" borderId="12" xfId="0" applyNumberFormat="1" applyFont="1" applyFill="1" applyBorder="1" applyAlignment="1">
      <alignment horizontal="center" vertical="center" wrapText="1"/>
    </xf>
    <xf numFmtId="0" fontId="14" fillId="12" borderId="13" xfId="0" applyFont="1" applyFill="1" applyBorder="1" applyAlignment="1">
      <alignment vertical="center" wrapText="1"/>
    </xf>
    <xf numFmtId="0" fontId="17" fillId="12" borderId="16" xfId="0" applyFont="1" applyFill="1" applyBorder="1" applyAlignment="1">
      <alignment vertical="center" wrapText="1"/>
    </xf>
    <xf numFmtId="0" fontId="14" fillId="12" borderId="3" xfId="0" applyNumberFormat="1" applyFont="1" applyFill="1" applyBorder="1" applyAlignment="1">
      <alignment vertical="center" wrapText="1"/>
    </xf>
    <xf numFmtId="0" fontId="14" fillId="12" borderId="3" xfId="0" applyFont="1" applyFill="1" applyBorder="1" applyAlignment="1">
      <alignment vertical="center" wrapText="1"/>
    </xf>
    <xf numFmtId="9" fontId="14" fillId="12" borderId="3" xfId="0" applyNumberFormat="1" applyFont="1" applyFill="1" applyBorder="1" applyAlignment="1">
      <alignment vertical="center" wrapText="1"/>
    </xf>
    <xf numFmtId="0" fontId="18" fillId="12" borderId="6" xfId="0" applyFont="1" applyFill="1" applyBorder="1" applyAlignment="1">
      <alignment horizontal="center" vertical="center" wrapText="1"/>
    </xf>
    <xf numFmtId="0" fontId="18" fillId="12" borderId="17" xfId="0" applyFont="1" applyFill="1" applyBorder="1" applyAlignment="1">
      <alignment horizontal="center" vertical="center" wrapText="1"/>
    </xf>
    <xf numFmtId="176" fontId="18" fillId="12" borderId="6" xfId="0" applyNumberFormat="1" applyFont="1" applyFill="1" applyBorder="1" applyAlignment="1">
      <alignment horizontal="center" vertical="center" wrapText="1"/>
    </xf>
    <xf numFmtId="176" fontId="18" fillId="12" borderId="17" xfId="0" applyNumberFormat="1" applyFont="1" applyFill="1" applyBorder="1" applyAlignment="1">
      <alignment horizontal="center" vertical="center" wrapText="1"/>
    </xf>
    <xf numFmtId="0" fontId="14" fillId="13" borderId="0" xfId="0" applyFont="1" applyFill="1" applyAlignment="1">
      <alignment vertical="center" wrapText="1"/>
    </xf>
    <xf numFmtId="0" fontId="14" fillId="13" borderId="15" xfId="0" applyFont="1" applyFill="1" applyBorder="1" applyAlignment="1">
      <alignment horizontal="left" vertical="center" wrapText="1"/>
    </xf>
    <xf numFmtId="0" fontId="18" fillId="13" borderId="3" xfId="0" applyFont="1" applyFill="1" applyBorder="1" applyAlignment="1">
      <alignment horizontal="center" vertical="center" wrapText="1"/>
    </xf>
    <xf numFmtId="0" fontId="18" fillId="13" borderId="6" xfId="0" applyFont="1" applyFill="1" applyBorder="1" applyAlignment="1">
      <alignment vertical="center" wrapText="1"/>
    </xf>
    <xf numFmtId="0" fontId="14" fillId="13" borderId="13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0" fontId="14" fillId="13" borderId="3" xfId="0" applyFont="1" applyFill="1" applyBorder="1" applyAlignment="1">
      <alignment vertical="center" wrapText="1"/>
    </xf>
    <xf numFmtId="0" fontId="14" fillId="13" borderId="3" xfId="0" applyFont="1" applyFill="1" applyBorder="1" applyAlignment="1">
      <alignment horizontal="center" vertical="center" wrapText="1"/>
    </xf>
    <xf numFmtId="0" fontId="14" fillId="14" borderId="3" xfId="0" applyFont="1" applyFill="1" applyBorder="1" applyAlignment="1">
      <alignment vertical="center" wrapText="1"/>
    </xf>
    <xf numFmtId="9" fontId="14" fillId="13" borderId="3" xfId="0" applyNumberFormat="1" applyFont="1" applyFill="1" applyBorder="1" applyAlignment="1">
      <alignment horizontal="center" vertical="center" wrapText="1"/>
    </xf>
    <xf numFmtId="0" fontId="14" fillId="14" borderId="3" xfId="0" applyNumberFormat="1" applyFont="1" applyFill="1" applyBorder="1" applyAlignment="1">
      <alignment vertical="center" wrapText="1"/>
    </xf>
    <xf numFmtId="0" fontId="18" fillId="13" borderId="18" xfId="0" applyFont="1" applyFill="1" applyBorder="1" applyAlignment="1">
      <alignment vertical="center" wrapText="1"/>
    </xf>
    <xf numFmtId="0" fontId="18" fillId="13" borderId="17" xfId="0" applyFont="1" applyFill="1" applyBorder="1" applyAlignment="1">
      <alignment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Normal 2" xfId="42"/>
    <cellStyle name="40% - 强调文字颜色 4" xfId="43" builtinId="43"/>
    <cellStyle name="强调文字颜色 5" xfId="44" builtinId="45"/>
    <cellStyle name="Normal 3" xf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標準_画面詳細仕様(6)" xfId="51"/>
  </cellStyles>
  <dxfs count="8">
    <dxf>
      <font>
        <color theme="1"/>
      </font>
      <fill>
        <patternFill patternType="solid">
          <bgColor rgb="FFFFFF00"/>
        </patternFill>
      </fill>
    </dxf>
    <dxf>
      <font>
        <color theme="0"/>
      </font>
      <fill>
        <patternFill patternType="solid">
          <bgColor theme="4" tint="-0.249946592608417"/>
        </patternFill>
      </fill>
    </dxf>
    <dxf>
      <font>
        <color theme="0"/>
      </font>
      <fill>
        <patternFill patternType="solid">
          <bgColor theme="1" tint="0.349986266670736"/>
        </patternFill>
      </fill>
    </dxf>
    <dxf>
      <font>
        <color rgb="FFFF0000"/>
      </font>
      <fill>
        <patternFill patternType="solid">
          <bgColor theme="5" tint="0.799829096346934"/>
        </patternFill>
      </fill>
    </dxf>
    <dxf>
      <font>
        <color rgb="FF0000FF"/>
      </font>
    </dxf>
    <dxf>
      <font>
        <b val="1"/>
        <i val="0"/>
        <strike val="0"/>
        <color rgb="FFFF0000"/>
      </font>
    </dxf>
    <dxf>
      <font>
        <color rgb="FF008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3.emf"/><Relationship Id="rId1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76200</xdr:colOff>
      <xdr:row>189</xdr:row>
      <xdr:rowOff>180356</xdr:rowOff>
    </xdr:from>
    <xdr:to>
      <xdr:col>4</xdr:col>
      <xdr:colOff>1780167</xdr:colOff>
      <xdr:row>224</xdr:row>
      <xdr:rowOff>180356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00" y="31289625"/>
          <a:ext cx="1703705" cy="180340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208</xdr:row>
      <xdr:rowOff>180975</xdr:rowOff>
    </xdr:from>
    <xdr:to>
      <xdr:col>5</xdr:col>
      <xdr:colOff>0</xdr:colOff>
      <xdr:row>225</xdr:row>
      <xdr:rowOff>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47975" y="31289625"/>
          <a:ext cx="1714500" cy="180975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220</xdr:row>
      <xdr:rowOff>186190</xdr:rowOff>
    </xdr:from>
    <xdr:to>
      <xdr:col>4</xdr:col>
      <xdr:colOff>1780486</xdr:colOff>
      <xdr:row>224</xdr:row>
      <xdr:rowOff>4183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867025" y="31289625"/>
          <a:ext cx="1694180" cy="3810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220</xdr:row>
      <xdr:rowOff>810902</xdr:rowOff>
    </xdr:from>
    <xdr:to>
      <xdr:col>4</xdr:col>
      <xdr:colOff>1780518</xdr:colOff>
      <xdr:row>224</xdr:row>
      <xdr:rowOff>2656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981325" y="31289625"/>
          <a:ext cx="1579880" cy="2540"/>
        </a:xfrm>
        <a:prstGeom prst="rect">
          <a:avLst/>
        </a:prstGeom>
      </xdr:spPr>
    </xdr:pic>
    <xdr:clientData/>
  </xdr:twoCellAnchor>
  <xdr:twoCellAnchor editAs="oneCell">
    <xdr:from>
      <xdr:col>4</xdr:col>
      <xdr:colOff>50718</xdr:colOff>
      <xdr:row>221</xdr:row>
      <xdr:rowOff>196416</xdr:rowOff>
    </xdr:from>
    <xdr:to>
      <xdr:col>4</xdr:col>
      <xdr:colOff>1780980</xdr:colOff>
      <xdr:row>224</xdr:row>
      <xdr:rowOff>3965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831465" y="31289625"/>
          <a:ext cx="1730375" cy="3810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223</xdr:row>
      <xdr:rowOff>0</xdr:rowOff>
    </xdr:from>
    <xdr:to>
      <xdr:col>4</xdr:col>
      <xdr:colOff>674370</xdr:colOff>
      <xdr:row>224</xdr:row>
      <xdr:rowOff>1270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19425" y="31289625"/>
          <a:ext cx="436245" cy="1270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223</xdr:row>
      <xdr:rowOff>0</xdr:rowOff>
    </xdr:from>
    <xdr:to>
      <xdr:col>4</xdr:col>
      <xdr:colOff>676275</xdr:colOff>
      <xdr:row>224</xdr:row>
      <xdr:rowOff>7620</xdr:rowOff>
    </xdr:to>
    <xdr:pic>
      <xdr:nvPicPr>
        <xdr:cNvPr id="13" name="图片 1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3019425" y="31289625"/>
          <a:ext cx="438150" cy="7620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223</xdr:row>
      <xdr:rowOff>0</xdr:rowOff>
    </xdr:from>
    <xdr:to>
      <xdr:col>4</xdr:col>
      <xdr:colOff>676275</xdr:colOff>
      <xdr:row>224</xdr:row>
      <xdr:rowOff>3175</xdr:rowOff>
    </xdr:to>
    <xdr:pic>
      <xdr:nvPicPr>
        <xdr:cNvPr id="14" name="图片 1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924175" y="31289625"/>
          <a:ext cx="533400" cy="3175"/>
        </a:xfrm>
        <a:prstGeom prst="rect">
          <a:avLst/>
        </a:prstGeom>
      </xdr:spPr>
    </xdr:pic>
    <xdr:clientData/>
  </xdr:twoCellAnchor>
  <xdr:twoCellAnchor>
    <xdr:from>
      <xdr:col>4</xdr:col>
      <xdr:colOff>59055</xdr:colOff>
      <xdr:row>223</xdr:row>
      <xdr:rowOff>0</xdr:rowOff>
    </xdr:from>
    <xdr:to>
      <xdr:col>4</xdr:col>
      <xdr:colOff>2666365</xdr:colOff>
      <xdr:row>223</xdr:row>
      <xdr:rowOff>0</xdr:rowOff>
    </xdr:to>
    <xdr:pic>
      <xdr:nvPicPr>
        <xdr:cNvPr id="16" name="图片 1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840355" y="31289625"/>
          <a:ext cx="172212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23495</xdr:colOff>
      <xdr:row>223</xdr:row>
      <xdr:rowOff>465455</xdr:rowOff>
    </xdr:from>
    <xdr:to>
      <xdr:col>4</xdr:col>
      <xdr:colOff>1780540</xdr:colOff>
      <xdr:row>223</xdr:row>
      <xdr:rowOff>606425</xdr:rowOff>
    </xdr:to>
    <xdr:pic>
      <xdr:nvPicPr>
        <xdr:cNvPr id="17" name="图片 16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2804795" y="31289625"/>
          <a:ext cx="175704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14605</xdr:colOff>
      <xdr:row>224</xdr:row>
      <xdr:rowOff>0</xdr:rowOff>
    </xdr:from>
    <xdr:to>
      <xdr:col>5</xdr:col>
      <xdr:colOff>0</xdr:colOff>
      <xdr:row>225</xdr:row>
      <xdr:rowOff>0</xdr:rowOff>
    </xdr:to>
    <xdr:pic>
      <xdr:nvPicPr>
        <xdr:cNvPr id="18" name="图片 1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795905" y="31289625"/>
          <a:ext cx="1766570" cy="180975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103</xdr:row>
          <xdr:rowOff>295275</xdr:rowOff>
        </xdr:from>
        <xdr:to>
          <xdr:col>4</xdr:col>
          <xdr:colOff>609600</xdr:colOff>
          <xdr:row>103</xdr:row>
          <xdr:rowOff>295275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2857500" y="26565225"/>
              <a:ext cx="5334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800100</xdr:colOff>
          <xdr:row>103</xdr:row>
          <xdr:rowOff>285750</xdr:rowOff>
        </xdr:from>
        <xdr:to>
          <xdr:col>4</xdr:col>
          <xdr:colOff>1381125</xdr:colOff>
          <xdr:row>103</xdr:row>
          <xdr:rowOff>285750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3581400" y="26555700"/>
              <a:ext cx="581025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a00002\proj\System\System%20Project%20Status\Infras\ITI&amp;ITO%20OPERATION%20REVIEW\IssueReport\ITI&amp;ITO_Issue_Recor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System\12%20&#31995;&#32479;&#37096;&#31243;&#24207;&#25991;&#20214;\2015&#24180;&#39033;&#30446;&#25991;&#26723;\2014-2015_ORSAII_&#26417;&#22521;\4&#24320;&#21457;&#38454;&#27573;\03&#27979;&#35797;&#38382;&#39064;&#36861;&#36394;&#28165;&#21333;\&#29992;&#25143;&#27979;&#35797;\temp\ORSAII\Users\wliu22\AppData\Local\Microsoft\Windows\Temporary%20Internet%20Files\Content.Outlook\23UDNUPX\ITI&amp;ITO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hart"/>
      <sheetName val="R&amp;R"/>
      <sheetName val="Issues Records"/>
      <sheetName val="Mail Index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hart"/>
      <sheetName val="R&amp;R"/>
      <sheetName val="Issues Records"/>
      <sheetName val="Mail Index"/>
    </sheetNames>
    <sheetDataSet>
      <sheetData sheetId="0" refreshError="1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6" Type="http://schemas.openxmlformats.org/officeDocument/2006/relationships/image" Target="../media/image13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2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W21"/>
  <sheetViews>
    <sheetView workbookViewId="0">
      <selection activeCell="A16" sqref="$A16:$XFD16"/>
    </sheetView>
  </sheetViews>
  <sheetFormatPr defaultColWidth="9" defaultRowHeight="16.5"/>
  <cols>
    <col min="1" max="1" width="1.75" style="149" customWidth="1"/>
    <col min="2" max="2" width="5" style="149" customWidth="1"/>
    <col min="3" max="3" width="8.5" style="149" customWidth="1"/>
    <col min="4" max="4" width="6.375" style="149" customWidth="1"/>
    <col min="5" max="16381" width="9" style="149"/>
  </cols>
  <sheetData>
    <row r="1" spans="2:5">
      <c r="B1" s="150" t="s">
        <v>0</v>
      </c>
      <c r="C1" s="150"/>
      <c r="D1" s="150"/>
      <c r="E1" s="150"/>
    </row>
    <row r="2" ht="25.5" customHeight="1" spans="2:23">
      <c r="B2" s="151" t="s">
        <v>1</v>
      </c>
      <c r="C2" s="151"/>
      <c r="D2" s="151"/>
      <c r="E2" s="151"/>
      <c r="F2" s="151"/>
      <c r="G2" s="151"/>
      <c r="H2" s="152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1"/>
    </row>
    <row r="3" ht="20.25" customHeight="1" spans="2:23">
      <c r="B3" s="153" t="s">
        <v>2</v>
      </c>
      <c r="C3" s="153" t="s">
        <v>3</v>
      </c>
      <c r="D3" s="153" t="s">
        <v>4</v>
      </c>
      <c r="E3" s="153" t="s">
        <v>5</v>
      </c>
      <c r="F3" s="153" t="s">
        <v>6</v>
      </c>
      <c r="G3" s="153" t="s">
        <v>7</v>
      </c>
      <c r="H3" s="151" t="s">
        <v>8</v>
      </c>
      <c r="I3" s="151"/>
      <c r="J3" s="151" t="s">
        <v>9</v>
      </c>
      <c r="K3" s="151"/>
      <c r="L3" s="151" t="s">
        <v>10</v>
      </c>
      <c r="M3" s="151"/>
      <c r="N3" s="151" t="s">
        <v>11</v>
      </c>
      <c r="O3" s="151"/>
      <c r="P3" s="151" t="s">
        <v>12</v>
      </c>
      <c r="Q3" s="151"/>
      <c r="R3" s="151" t="s">
        <v>13</v>
      </c>
      <c r="S3" s="151"/>
      <c r="T3" s="151" t="s">
        <v>14</v>
      </c>
      <c r="U3" s="151"/>
      <c r="V3" s="151" t="s">
        <v>15</v>
      </c>
      <c r="W3" s="151"/>
    </row>
    <row r="4" ht="25.5" customHeight="1" spans="2:23">
      <c r="B4" s="154"/>
      <c r="C4" s="154"/>
      <c r="D4" s="154"/>
      <c r="E4" s="154"/>
      <c r="F4" s="154"/>
      <c r="G4" s="154"/>
      <c r="H4" s="155" t="s">
        <v>16</v>
      </c>
      <c r="I4" s="155" t="s">
        <v>17</v>
      </c>
      <c r="J4" s="155" t="s">
        <v>16</v>
      </c>
      <c r="K4" s="155" t="s">
        <v>17</v>
      </c>
      <c r="L4" s="155" t="s">
        <v>16</v>
      </c>
      <c r="M4" s="155" t="s">
        <v>17</v>
      </c>
      <c r="N4" s="155" t="s">
        <v>16</v>
      </c>
      <c r="O4" s="155" t="s">
        <v>17</v>
      </c>
      <c r="P4" s="155" t="s">
        <v>16</v>
      </c>
      <c r="Q4" s="155" t="s">
        <v>17</v>
      </c>
      <c r="R4" s="155" t="s">
        <v>16</v>
      </c>
      <c r="S4" s="155" t="s">
        <v>17</v>
      </c>
      <c r="T4" s="155" t="s">
        <v>16</v>
      </c>
      <c r="U4" s="155" t="s">
        <v>17</v>
      </c>
      <c r="V4" s="155" t="s">
        <v>16</v>
      </c>
      <c r="W4" s="155" t="s">
        <v>17</v>
      </c>
    </row>
    <row r="5" spans="2:23">
      <c r="B5" s="156">
        <v>1</v>
      </c>
      <c r="C5" s="156" t="s">
        <v>18</v>
      </c>
      <c r="D5" s="157">
        <v>2</v>
      </c>
      <c r="E5" s="157">
        <v>2</v>
      </c>
      <c r="F5" s="156">
        <v>2</v>
      </c>
      <c r="G5" s="158">
        <f>F5/D5</f>
        <v>1</v>
      </c>
      <c r="H5" s="156">
        <v>2</v>
      </c>
      <c r="I5" s="156">
        <v>2</v>
      </c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</row>
    <row r="6" spans="2:23">
      <c r="B6" s="156">
        <v>2</v>
      </c>
      <c r="C6" s="156" t="s">
        <v>19</v>
      </c>
      <c r="D6" s="159">
        <v>11</v>
      </c>
      <c r="E6" s="159">
        <v>11</v>
      </c>
      <c r="F6" s="156">
        <v>11</v>
      </c>
      <c r="G6" s="158">
        <f t="shared" ref="G6:G21" si="0">F6/D6</f>
        <v>1</v>
      </c>
      <c r="H6" s="156">
        <v>11</v>
      </c>
      <c r="I6" s="156">
        <v>11</v>
      </c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</row>
    <row r="7" spans="2:23">
      <c r="B7" s="156">
        <v>3</v>
      </c>
      <c r="C7" s="156" t="s">
        <v>20</v>
      </c>
      <c r="D7" s="159">
        <v>7</v>
      </c>
      <c r="E7" s="159">
        <v>7</v>
      </c>
      <c r="F7" s="156">
        <v>7</v>
      </c>
      <c r="G7" s="158">
        <f t="shared" si="0"/>
        <v>1</v>
      </c>
      <c r="H7" s="156">
        <v>7</v>
      </c>
      <c r="I7" s="156">
        <v>7</v>
      </c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</row>
    <row r="8" spans="2:23">
      <c r="B8" s="156">
        <v>4</v>
      </c>
      <c r="C8" s="156" t="s">
        <v>21</v>
      </c>
      <c r="D8" s="159">
        <v>3</v>
      </c>
      <c r="E8" s="159">
        <v>3</v>
      </c>
      <c r="F8" s="156">
        <v>3</v>
      </c>
      <c r="G8" s="158">
        <f t="shared" si="0"/>
        <v>1</v>
      </c>
      <c r="H8" s="156">
        <v>3</v>
      </c>
      <c r="I8" s="156">
        <v>3</v>
      </c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</row>
    <row r="9" spans="2:23">
      <c r="B9" s="156">
        <v>5</v>
      </c>
      <c r="C9" s="156" t="s">
        <v>22</v>
      </c>
      <c r="D9" s="159">
        <v>26</v>
      </c>
      <c r="E9" s="159">
        <v>26</v>
      </c>
      <c r="F9" s="156">
        <v>26</v>
      </c>
      <c r="G9" s="158">
        <v>1</v>
      </c>
      <c r="H9" s="156">
        <v>21</v>
      </c>
      <c r="I9" s="156">
        <v>21</v>
      </c>
      <c r="J9" s="156"/>
      <c r="K9" s="156"/>
      <c r="L9" s="156"/>
      <c r="M9" s="156"/>
      <c r="N9" s="156">
        <v>5</v>
      </c>
      <c r="O9" s="156"/>
      <c r="P9" s="156"/>
      <c r="Q9" s="156"/>
      <c r="R9" s="156"/>
      <c r="S9" s="156"/>
      <c r="T9" s="156"/>
      <c r="U9" s="156"/>
      <c r="V9" s="156"/>
      <c r="W9" s="156"/>
    </row>
    <row r="10" spans="2:23">
      <c r="B10" s="156">
        <v>6</v>
      </c>
      <c r="C10" s="156" t="s">
        <v>23</v>
      </c>
      <c r="D10" s="157">
        <v>23</v>
      </c>
      <c r="E10" s="157">
        <v>23</v>
      </c>
      <c r="F10" s="156">
        <v>23</v>
      </c>
      <c r="G10" s="158">
        <f t="shared" si="0"/>
        <v>1</v>
      </c>
      <c r="H10" s="156">
        <v>12</v>
      </c>
      <c r="I10" s="156">
        <v>12</v>
      </c>
      <c r="J10" s="156"/>
      <c r="K10" s="156"/>
      <c r="L10" s="156"/>
      <c r="M10" s="156"/>
      <c r="N10" s="156"/>
      <c r="O10" s="156"/>
      <c r="P10" s="156"/>
      <c r="Q10" s="156"/>
      <c r="R10" s="156">
        <v>11</v>
      </c>
      <c r="S10" s="156"/>
      <c r="T10" s="156"/>
      <c r="U10" s="156"/>
      <c r="V10" s="156"/>
      <c r="W10" s="156"/>
    </row>
    <row r="11" ht="15.75" customHeight="1" spans="2:23">
      <c r="B11" s="156">
        <v>7</v>
      </c>
      <c r="C11" s="156" t="s">
        <v>24</v>
      </c>
      <c r="D11" s="159">
        <v>17</v>
      </c>
      <c r="E11" s="159">
        <v>17</v>
      </c>
      <c r="F11" s="156">
        <v>17</v>
      </c>
      <c r="G11" s="158">
        <f t="shared" ref="G11" si="1">F11/D11</f>
        <v>1</v>
      </c>
      <c r="H11" s="156"/>
      <c r="I11" s="156"/>
      <c r="J11" s="156">
        <v>17</v>
      </c>
      <c r="K11" s="156">
        <v>17</v>
      </c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</row>
    <row r="12" spans="2:23">
      <c r="B12" s="156">
        <v>8</v>
      </c>
      <c r="C12" s="156" t="s">
        <v>25</v>
      </c>
      <c r="D12" s="159">
        <v>22</v>
      </c>
      <c r="E12" s="159">
        <v>22</v>
      </c>
      <c r="F12" s="156">
        <v>22</v>
      </c>
      <c r="G12" s="158">
        <f t="shared" si="0"/>
        <v>1</v>
      </c>
      <c r="H12" s="156"/>
      <c r="I12" s="156"/>
      <c r="J12" s="156"/>
      <c r="K12" s="156"/>
      <c r="L12" s="156">
        <v>22</v>
      </c>
      <c r="M12" s="156">
        <v>22</v>
      </c>
      <c r="N12" s="156"/>
      <c r="O12" s="156"/>
      <c r="P12" s="156"/>
      <c r="Q12" s="156"/>
      <c r="R12" s="156"/>
      <c r="S12" s="156"/>
      <c r="T12" s="156"/>
      <c r="U12" s="156"/>
      <c r="V12" s="156"/>
      <c r="W12" s="156"/>
    </row>
    <row r="13" ht="17.25" customHeight="1" spans="2:23">
      <c r="B13" s="156">
        <v>9</v>
      </c>
      <c r="C13" s="156" t="s">
        <v>26</v>
      </c>
      <c r="D13" s="159">
        <v>8</v>
      </c>
      <c r="E13" s="159">
        <v>8</v>
      </c>
      <c r="F13" s="156">
        <v>8</v>
      </c>
      <c r="G13" s="158">
        <f t="shared" ref="G13:G14" si="2">F13/D13</f>
        <v>1</v>
      </c>
      <c r="H13" s="156"/>
      <c r="I13" s="156"/>
      <c r="J13" s="156">
        <v>4</v>
      </c>
      <c r="K13" s="156">
        <v>4</v>
      </c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>
        <v>4</v>
      </c>
      <c r="W13" s="156"/>
    </row>
    <row r="14" spans="2:23">
      <c r="B14" s="156">
        <v>10</v>
      </c>
      <c r="C14" s="156" t="s">
        <v>27</v>
      </c>
      <c r="D14" s="159">
        <v>3</v>
      </c>
      <c r="E14" s="159">
        <v>3</v>
      </c>
      <c r="F14" s="156">
        <v>3</v>
      </c>
      <c r="G14" s="158">
        <f t="shared" si="2"/>
        <v>1</v>
      </c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>
        <v>3</v>
      </c>
      <c r="S14" s="156"/>
      <c r="T14" s="156"/>
      <c r="U14" s="156"/>
      <c r="V14" s="156"/>
      <c r="W14" s="156"/>
    </row>
    <row r="15" spans="2:23">
      <c r="B15" s="156">
        <v>11</v>
      </c>
      <c r="C15" s="156" t="s">
        <v>28</v>
      </c>
      <c r="D15" s="159">
        <v>15</v>
      </c>
      <c r="E15" s="159">
        <v>15</v>
      </c>
      <c r="F15" s="156">
        <v>15</v>
      </c>
      <c r="G15" s="158">
        <f t="shared" si="0"/>
        <v>1</v>
      </c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>
        <v>15</v>
      </c>
      <c r="S15" s="156"/>
      <c r="T15" s="156"/>
      <c r="U15" s="156"/>
      <c r="V15" s="156"/>
      <c r="W15" s="156"/>
    </row>
    <row r="16" spans="2:23">
      <c r="B16" s="156">
        <v>12</v>
      </c>
      <c r="C16" s="156" t="s">
        <v>29</v>
      </c>
      <c r="D16" s="159">
        <v>35</v>
      </c>
      <c r="E16" s="159">
        <v>35</v>
      </c>
      <c r="F16" s="156">
        <v>35</v>
      </c>
      <c r="G16" s="158">
        <f t="shared" si="0"/>
        <v>1</v>
      </c>
      <c r="H16" s="156"/>
      <c r="I16" s="156"/>
      <c r="J16" s="156"/>
      <c r="K16" s="156"/>
      <c r="L16" s="156"/>
      <c r="M16" s="156"/>
      <c r="N16" s="156">
        <v>15</v>
      </c>
      <c r="O16" s="156"/>
      <c r="P16" s="156">
        <v>20</v>
      </c>
      <c r="Q16" s="156"/>
      <c r="R16" s="156"/>
      <c r="S16" s="156"/>
      <c r="T16" s="156"/>
      <c r="U16" s="156"/>
      <c r="V16" s="156"/>
      <c r="W16" s="156"/>
    </row>
    <row r="17" spans="2:23">
      <c r="B17" s="156">
        <v>13</v>
      </c>
      <c r="C17" s="156" t="s">
        <v>30</v>
      </c>
      <c r="D17" s="159">
        <v>6</v>
      </c>
      <c r="E17" s="159">
        <v>6</v>
      </c>
      <c r="F17" s="156">
        <v>6</v>
      </c>
      <c r="G17" s="158">
        <f t="shared" si="0"/>
        <v>1</v>
      </c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>
        <v>6</v>
      </c>
      <c r="W17" s="156"/>
    </row>
    <row r="18" spans="2:23">
      <c r="B18" s="156">
        <v>14</v>
      </c>
      <c r="C18" s="156" t="s">
        <v>31</v>
      </c>
      <c r="D18" s="159">
        <v>5</v>
      </c>
      <c r="E18" s="159">
        <v>5</v>
      </c>
      <c r="F18" s="156">
        <v>5</v>
      </c>
      <c r="G18" s="158">
        <f t="shared" si="0"/>
        <v>1</v>
      </c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>
        <v>5</v>
      </c>
      <c r="W18" s="156"/>
    </row>
    <row r="19" ht="15.75" customHeight="1" spans="2:23">
      <c r="B19" s="156">
        <v>15</v>
      </c>
      <c r="C19" s="156" t="s">
        <v>32</v>
      </c>
      <c r="D19" s="159">
        <v>15</v>
      </c>
      <c r="E19" s="159">
        <v>15</v>
      </c>
      <c r="F19" s="156">
        <v>5</v>
      </c>
      <c r="G19" s="158">
        <f t="shared" ref="G19:G20" si="3">F19/D19</f>
        <v>0.333333333333333</v>
      </c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</row>
    <row r="20" spans="2:23">
      <c r="B20" s="156">
        <v>16</v>
      </c>
      <c r="C20" s="156" t="s">
        <v>33</v>
      </c>
      <c r="D20" s="159">
        <v>17</v>
      </c>
      <c r="E20" s="159">
        <v>17</v>
      </c>
      <c r="F20" s="156">
        <v>0</v>
      </c>
      <c r="G20" s="158">
        <f t="shared" si="3"/>
        <v>0</v>
      </c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>
        <v>17</v>
      </c>
      <c r="U20" s="156"/>
      <c r="V20" s="156"/>
      <c r="W20" s="156"/>
    </row>
    <row r="21" spans="2:23">
      <c r="B21" s="156">
        <v>17</v>
      </c>
      <c r="C21" s="156" t="s">
        <v>34</v>
      </c>
      <c r="D21" s="159">
        <v>8</v>
      </c>
      <c r="E21" s="159">
        <v>8</v>
      </c>
      <c r="F21" s="156">
        <v>8</v>
      </c>
      <c r="G21" s="158">
        <f t="shared" si="0"/>
        <v>1</v>
      </c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>
        <v>8</v>
      </c>
      <c r="W21" s="156"/>
    </row>
  </sheetData>
  <mergeCells count="17">
    <mergeCell ref="B1:E1"/>
    <mergeCell ref="B2:G2"/>
    <mergeCell ref="R2:W2"/>
    <mergeCell ref="H3:I3"/>
    <mergeCell ref="J3:K3"/>
    <mergeCell ref="L3:M3"/>
    <mergeCell ref="N3:O3"/>
    <mergeCell ref="P3:Q3"/>
    <mergeCell ref="R3:S3"/>
    <mergeCell ref="T3:U3"/>
    <mergeCell ref="V3:W3"/>
    <mergeCell ref="B3:B4"/>
    <mergeCell ref="C3:C4"/>
    <mergeCell ref="D3:D4"/>
    <mergeCell ref="E3:E4"/>
    <mergeCell ref="F3:F4"/>
    <mergeCell ref="G3:G4"/>
  </mergeCells>
  <pageMargins left="0.699305555555556" right="0.699305555555556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J20"/>
  <sheetViews>
    <sheetView workbookViewId="0">
      <pane xSplit="8" ySplit="3" topLeftCell="AU7" activePane="bottomRight" state="frozen"/>
      <selection/>
      <selection pane="topRight"/>
      <selection pane="bottomLeft"/>
      <selection pane="bottomRight" activeCell="BG21" sqref="BG21"/>
    </sheetView>
  </sheetViews>
  <sheetFormatPr defaultColWidth="9" defaultRowHeight="16.5"/>
  <cols>
    <col min="1" max="1" width="1.75" style="128" customWidth="1"/>
    <col min="2" max="2" width="5" style="129" customWidth="1"/>
    <col min="3" max="3" width="8.5" style="129" customWidth="1"/>
    <col min="4" max="4" width="6.375" style="129" customWidth="1"/>
    <col min="5" max="5" width="6.375" style="130" customWidth="1"/>
    <col min="6" max="8" width="8" style="129" customWidth="1"/>
    <col min="9" max="10" width="6.375" style="129" customWidth="1"/>
    <col min="11" max="58" width="6.5" style="129" customWidth="1"/>
    <col min="59" max="59" width="6.375" style="131" customWidth="1"/>
    <col min="60" max="60" width="5.5" style="131" customWidth="1"/>
    <col min="61" max="61" width="6.875" style="131" customWidth="1"/>
    <col min="62" max="62" width="5.875" style="131" customWidth="1"/>
    <col min="63" max="63" width="7.625" style="131" customWidth="1"/>
    <col min="64" max="64" width="7.25" style="131" customWidth="1"/>
    <col min="65" max="16384" width="9" style="131"/>
  </cols>
  <sheetData>
    <row r="1" customHeight="1" spans="2:8">
      <c r="B1" s="132" t="s">
        <v>35</v>
      </c>
      <c r="C1" s="132"/>
      <c r="D1" s="133"/>
      <c r="E1" s="134"/>
      <c r="F1" s="131"/>
      <c r="G1" s="131"/>
      <c r="H1" s="131"/>
    </row>
    <row r="2" ht="20.25" customHeight="1" spans="2:88">
      <c r="B2" s="135" t="s">
        <v>2</v>
      </c>
      <c r="C2" s="135" t="s">
        <v>3</v>
      </c>
      <c r="D2" s="135" t="s">
        <v>4</v>
      </c>
      <c r="E2" s="136" t="s">
        <v>36</v>
      </c>
      <c r="F2" s="137" t="s">
        <v>37</v>
      </c>
      <c r="G2" s="137"/>
      <c r="H2" s="137"/>
      <c r="I2" s="145">
        <v>2.25</v>
      </c>
      <c r="J2" s="146"/>
      <c r="K2" s="145">
        <v>2.26</v>
      </c>
      <c r="L2" s="146"/>
      <c r="M2" s="145">
        <v>2.27</v>
      </c>
      <c r="N2" s="146"/>
      <c r="O2" s="145">
        <v>2.28</v>
      </c>
      <c r="P2" s="146"/>
      <c r="Q2" s="145">
        <v>3.1</v>
      </c>
      <c r="R2" s="146"/>
      <c r="S2" s="145">
        <v>3.4</v>
      </c>
      <c r="T2" s="146"/>
      <c r="U2" s="145">
        <v>3.5</v>
      </c>
      <c r="V2" s="146"/>
      <c r="W2" s="145">
        <v>3.6</v>
      </c>
      <c r="X2" s="146"/>
      <c r="Y2" s="145">
        <v>3.7</v>
      </c>
      <c r="Z2" s="146"/>
      <c r="AA2" s="145">
        <v>3.8</v>
      </c>
      <c r="AB2" s="146"/>
      <c r="AC2" s="145">
        <v>3.11</v>
      </c>
      <c r="AD2" s="146"/>
      <c r="AE2" s="145">
        <v>3.12</v>
      </c>
      <c r="AF2" s="146"/>
      <c r="AG2" s="145">
        <v>3.13</v>
      </c>
      <c r="AH2" s="146"/>
      <c r="AI2" s="145">
        <v>3.14</v>
      </c>
      <c r="AJ2" s="146"/>
      <c r="AK2" s="145">
        <v>3.15</v>
      </c>
      <c r="AL2" s="146"/>
      <c r="AM2" s="145">
        <v>3.18</v>
      </c>
      <c r="AN2" s="146"/>
      <c r="AO2" s="145">
        <v>3.19</v>
      </c>
      <c r="AP2" s="146"/>
      <c r="AQ2" s="147">
        <v>3.2</v>
      </c>
      <c r="AR2" s="148"/>
      <c r="AS2" s="145">
        <v>3.21</v>
      </c>
      <c r="AT2" s="146"/>
      <c r="AU2" s="145">
        <v>3.22</v>
      </c>
      <c r="AV2" s="146"/>
      <c r="AW2" s="145">
        <v>3.25</v>
      </c>
      <c r="AX2" s="146"/>
      <c r="AY2" s="145">
        <v>3.26</v>
      </c>
      <c r="AZ2" s="146"/>
      <c r="BA2" s="147">
        <v>3.27</v>
      </c>
      <c r="BB2" s="148"/>
      <c r="BC2" s="145">
        <v>3.28</v>
      </c>
      <c r="BD2" s="146"/>
      <c r="BE2" s="145">
        <v>3.29</v>
      </c>
      <c r="BF2" s="146"/>
      <c r="BG2" s="145">
        <v>4.1</v>
      </c>
      <c r="BH2" s="146"/>
      <c r="BI2" s="145">
        <v>4.2</v>
      </c>
      <c r="BJ2" s="146"/>
      <c r="BK2" s="145">
        <v>4.3</v>
      </c>
      <c r="BL2" s="146"/>
      <c r="BM2" s="145">
        <v>4.4</v>
      </c>
      <c r="BN2" s="146"/>
      <c r="BO2" s="145">
        <v>4.5</v>
      </c>
      <c r="BP2" s="146"/>
      <c r="BQ2" s="145">
        <v>4.8</v>
      </c>
      <c r="BR2" s="146"/>
      <c r="BS2" s="145">
        <v>4.9</v>
      </c>
      <c r="BT2" s="146"/>
      <c r="BU2" s="147">
        <v>4.1</v>
      </c>
      <c r="BV2" s="148"/>
      <c r="BW2" s="147">
        <v>4.11</v>
      </c>
      <c r="BX2" s="148"/>
      <c r="BY2" s="145">
        <v>4.12</v>
      </c>
      <c r="BZ2" s="146"/>
      <c r="CA2" s="145">
        <v>4.14</v>
      </c>
      <c r="CB2" s="146"/>
      <c r="CC2" s="145">
        <v>4.15</v>
      </c>
      <c r="CD2" s="146"/>
      <c r="CE2" s="145">
        <v>4.16</v>
      </c>
      <c r="CF2" s="146"/>
      <c r="CG2" s="145">
        <v>4.17</v>
      </c>
      <c r="CH2" s="146"/>
      <c r="CI2" s="145">
        <v>4.18</v>
      </c>
      <c r="CJ2" s="146"/>
    </row>
    <row r="3" ht="36.75" customHeight="1" spans="2:88">
      <c r="B3" s="138"/>
      <c r="C3" s="138"/>
      <c r="D3" s="138"/>
      <c r="E3" s="139"/>
      <c r="F3" s="140" t="s">
        <v>38</v>
      </c>
      <c r="G3" s="140" t="s">
        <v>39</v>
      </c>
      <c r="H3" s="140" t="s">
        <v>40</v>
      </c>
      <c r="I3" s="140" t="s">
        <v>16</v>
      </c>
      <c r="J3" s="140" t="s">
        <v>17</v>
      </c>
      <c r="K3" s="140" t="s">
        <v>16</v>
      </c>
      <c r="L3" s="140" t="s">
        <v>17</v>
      </c>
      <c r="M3" s="140" t="s">
        <v>16</v>
      </c>
      <c r="N3" s="140" t="s">
        <v>17</v>
      </c>
      <c r="O3" s="140" t="s">
        <v>16</v>
      </c>
      <c r="P3" s="140" t="s">
        <v>17</v>
      </c>
      <c r="Q3" s="140" t="s">
        <v>16</v>
      </c>
      <c r="R3" s="140" t="s">
        <v>17</v>
      </c>
      <c r="S3" s="140" t="s">
        <v>16</v>
      </c>
      <c r="T3" s="140" t="s">
        <v>17</v>
      </c>
      <c r="U3" s="140" t="s">
        <v>16</v>
      </c>
      <c r="V3" s="140" t="s">
        <v>17</v>
      </c>
      <c r="W3" s="140" t="s">
        <v>16</v>
      </c>
      <c r="X3" s="140" t="s">
        <v>17</v>
      </c>
      <c r="Y3" s="140" t="s">
        <v>16</v>
      </c>
      <c r="Z3" s="140" t="s">
        <v>17</v>
      </c>
      <c r="AA3" s="140" t="s">
        <v>16</v>
      </c>
      <c r="AB3" s="140" t="s">
        <v>17</v>
      </c>
      <c r="AC3" s="140" t="s">
        <v>16</v>
      </c>
      <c r="AD3" s="140" t="s">
        <v>17</v>
      </c>
      <c r="AE3" s="140" t="s">
        <v>16</v>
      </c>
      <c r="AF3" s="140" t="s">
        <v>17</v>
      </c>
      <c r="AG3" s="140" t="s">
        <v>16</v>
      </c>
      <c r="AH3" s="140" t="s">
        <v>17</v>
      </c>
      <c r="AI3" s="140" t="s">
        <v>16</v>
      </c>
      <c r="AJ3" s="140" t="s">
        <v>17</v>
      </c>
      <c r="AK3" s="140" t="s">
        <v>16</v>
      </c>
      <c r="AL3" s="140" t="s">
        <v>17</v>
      </c>
      <c r="AM3" s="140" t="s">
        <v>16</v>
      </c>
      <c r="AN3" s="140" t="s">
        <v>17</v>
      </c>
      <c r="AO3" s="140" t="s">
        <v>16</v>
      </c>
      <c r="AP3" s="140" t="s">
        <v>17</v>
      </c>
      <c r="AQ3" s="140" t="s">
        <v>16</v>
      </c>
      <c r="AR3" s="140" t="s">
        <v>17</v>
      </c>
      <c r="AS3" s="140" t="s">
        <v>16</v>
      </c>
      <c r="AT3" s="140" t="s">
        <v>17</v>
      </c>
      <c r="AU3" s="140" t="s">
        <v>16</v>
      </c>
      <c r="AV3" s="140" t="s">
        <v>17</v>
      </c>
      <c r="AW3" s="140" t="s">
        <v>16</v>
      </c>
      <c r="AX3" s="140" t="s">
        <v>17</v>
      </c>
      <c r="AY3" s="140" t="s">
        <v>16</v>
      </c>
      <c r="AZ3" s="140" t="s">
        <v>17</v>
      </c>
      <c r="BA3" s="140" t="s">
        <v>16</v>
      </c>
      <c r="BB3" s="140" t="s">
        <v>17</v>
      </c>
      <c r="BC3" s="140" t="s">
        <v>16</v>
      </c>
      <c r="BD3" s="140" t="s">
        <v>17</v>
      </c>
      <c r="BE3" s="140" t="s">
        <v>16</v>
      </c>
      <c r="BF3" s="140" t="s">
        <v>17</v>
      </c>
      <c r="BG3" s="140" t="s">
        <v>16</v>
      </c>
      <c r="BH3" s="140" t="s">
        <v>17</v>
      </c>
      <c r="BI3" s="140" t="s">
        <v>16</v>
      </c>
      <c r="BJ3" s="140" t="s">
        <v>17</v>
      </c>
      <c r="BK3" s="140" t="s">
        <v>16</v>
      </c>
      <c r="BL3" s="140" t="s">
        <v>17</v>
      </c>
      <c r="BM3" s="140" t="s">
        <v>16</v>
      </c>
      <c r="BN3" s="140" t="s">
        <v>17</v>
      </c>
      <c r="BO3" s="140" t="s">
        <v>16</v>
      </c>
      <c r="BP3" s="140" t="s">
        <v>17</v>
      </c>
      <c r="BQ3" s="140" t="s">
        <v>16</v>
      </c>
      <c r="BR3" s="140" t="s">
        <v>17</v>
      </c>
      <c r="BS3" s="140" t="s">
        <v>16</v>
      </c>
      <c r="BT3" s="140" t="s">
        <v>17</v>
      </c>
      <c r="BU3" s="140" t="s">
        <v>16</v>
      </c>
      <c r="BV3" s="140" t="s">
        <v>17</v>
      </c>
      <c r="BW3" s="140" t="s">
        <v>16</v>
      </c>
      <c r="BX3" s="140" t="s">
        <v>17</v>
      </c>
      <c r="BY3" s="140" t="s">
        <v>16</v>
      </c>
      <c r="BZ3" s="140" t="s">
        <v>17</v>
      </c>
      <c r="CA3" s="140" t="s">
        <v>16</v>
      </c>
      <c r="CB3" s="140" t="s">
        <v>17</v>
      </c>
      <c r="CC3" s="140" t="s">
        <v>16</v>
      </c>
      <c r="CD3" s="140" t="s">
        <v>17</v>
      </c>
      <c r="CE3" s="140" t="s">
        <v>16</v>
      </c>
      <c r="CF3" s="140" t="s">
        <v>17</v>
      </c>
      <c r="CG3" s="140" t="s">
        <v>16</v>
      </c>
      <c r="CH3" s="140" t="s">
        <v>17</v>
      </c>
      <c r="CI3" s="140" t="s">
        <v>16</v>
      </c>
      <c r="CJ3" s="140" t="s">
        <v>17</v>
      </c>
    </row>
    <row r="4" spans="1:88">
      <c r="A4" s="141"/>
      <c r="B4" s="142">
        <v>1</v>
      </c>
      <c r="C4" s="142" t="s">
        <v>18</v>
      </c>
      <c r="D4" s="143">
        <v>2</v>
      </c>
      <c r="E4" s="144">
        <f>G4/D4</f>
        <v>1</v>
      </c>
      <c r="F4" s="143">
        <v>2</v>
      </c>
      <c r="G4" s="143">
        <f>SUM(J4,L4,N4,P4,R4,T4,V4,X4,Z4,AB4,AD4,AF4,AH4,AJ4,AL4,AN4,AP4,AR4,AT4,AV4,AX4,AZ4,BB4,BH4,BJ4)</f>
        <v>2</v>
      </c>
      <c r="H4" s="144">
        <f>G4/F4</f>
        <v>1</v>
      </c>
      <c r="I4" s="143">
        <v>2</v>
      </c>
      <c r="J4" s="143"/>
      <c r="K4" s="143"/>
      <c r="L4" s="143">
        <v>2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  <c r="BD4" s="143"/>
      <c r="BE4" s="143"/>
      <c r="BF4" s="143"/>
      <c r="BG4" s="143"/>
      <c r="BH4" s="143"/>
      <c r="BI4" s="143"/>
      <c r="BJ4" s="143"/>
      <c r="BK4" s="143"/>
      <c r="BL4" s="143"/>
      <c r="BM4" s="143"/>
      <c r="BN4" s="143"/>
      <c r="BO4" s="143"/>
      <c r="BP4" s="143"/>
      <c r="BQ4" s="143"/>
      <c r="BR4" s="143"/>
      <c r="BS4" s="143"/>
      <c r="BT4" s="143"/>
      <c r="BU4" s="143"/>
      <c r="BV4" s="143"/>
      <c r="BW4" s="143"/>
      <c r="BX4" s="143"/>
      <c r="BY4" s="143"/>
      <c r="BZ4" s="143"/>
      <c r="CA4" s="143"/>
      <c r="CB4" s="143"/>
      <c r="CC4" s="143"/>
      <c r="CD4" s="143"/>
      <c r="CE4" s="143"/>
      <c r="CF4" s="143"/>
      <c r="CG4" s="143"/>
      <c r="CH4" s="143"/>
      <c r="CI4" s="143"/>
      <c r="CJ4" s="143"/>
    </row>
    <row r="5" spans="1:88">
      <c r="A5" s="141"/>
      <c r="B5" s="142">
        <v>2</v>
      </c>
      <c r="C5" s="142" t="s">
        <v>19</v>
      </c>
      <c r="D5" s="142">
        <v>11</v>
      </c>
      <c r="E5" s="144">
        <f t="shared" ref="E5:E20" si="0">G5/D5</f>
        <v>1</v>
      </c>
      <c r="F5" s="142">
        <v>11</v>
      </c>
      <c r="G5" s="143">
        <f>SUM(J5,L5,N5,P5,R5,T5,V5,X5,Z5,AB5,AD5,AF5,AH5,AJ5,AL5,AN5,AP5,AR5,AT5,AV5,AX5,AZ5,BB5,BH5,BJ5)</f>
        <v>11</v>
      </c>
      <c r="H5" s="144">
        <f t="shared" ref="H5:H20" si="1">G5/F5</f>
        <v>1</v>
      </c>
      <c r="I5" s="142">
        <v>11</v>
      </c>
      <c r="J5" s="142"/>
      <c r="K5" s="143"/>
      <c r="L5" s="143">
        <v>11</v>
      </c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3"/>
      <c r="BE5" s="143"/>
      <c r="BF5" s="143"/>
      <c r="BG5" s="143"/>
      <c r="BH5" s="143"/>
      <c r="BI5" s="143"/>
      <c r="BJ5" s="143"/>
      <c r="BK5" s="143"/>
      <c r="BL5" s="143"/>
      <c r="BM5" s="143"/>
      <c r="BN5" s="143"/>
      <c r="BO5" s="143"/>
      <c r="BP5" s="143"/>
      <c r="BQ5" s="143"/>
      <c r="BR5" s="143"/>
      <c r="BS5" s="143"/>
      <c r="BT5" s="143"/>
      <c r="BU5" s="143"/>
      <c r="BV5" s="143"/>
      <c r="BW5" s="143"/>
      <c r="BX5" s="143"/>
      <c r="BY5" s="143"/>
      <c r="BZ5" s="143"/>
      <c r="CA5" s="143"/>
      <c r="CB5" s="143"/>
      <c r="CC5" s="143"/>
      <c r="CD5" s="143"/>
      <c r="CE5" s="143"/>
      <c r="CF5" s="143"/>
      <c r="CG5" s="143"/>
      <c r="CH5" s="143"/>
      <c r="CI5" s="143"/>
      <c r="CJ5" s="143"/>
    </row>
    <row r="6" spans="1:88">
      <c r="A6" s="141"/>
      <c r="B6" s="142">
        <v>3</v>
      </c>
      <c r="C6" s="142" t="s">
        <v>20</v>
      </c>
      <c r="D6" s="142">
        <v>7</v>
      </c>
      <c r="E6" s="144">
        <f t="shared" si="0"/>
        <v>1</v>
      </c>
      <c r="F6" s="142">
        <v>7</v>
      </c>
      <c r="G6" s="143">
        <f>SUM(J6,L6,N6,P6,R6,T6,V6,X6,Z6,AB6,AD6,AF6,AH6,AJ6,AL6,AN6,AP6,AR6,AT6,AV6,AX6,AZ6,BB6,BH6,BJ6)</f>
        <v>7</v>
      </c>
      <c r="H6" s="144">
        <f t="shared" si="1"/>
        <v>1</v>
      </c>
      <c r="I6" s="142"/>
      <c r="J6" s="142"/>
      <c r="K6" s="143">
        <v>7</v>
      </c>
      <c r="L6" s="143">
        <v>7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  <c r="BJ6" s="143"/>
      <c r="BK6" s="143"/>
      <c r="BL6" s="143"/>
      <c r="BM6" s="143"/>
      <c r="BN6" s="143"/>
      <c r="BO6" s="143"/>
      <c r="BP6" s="143"/>
      <c r="BQ6" s="143"/>
      <c r="BR6" s="143"/>
      <c r="BS6" s="143"/>
      <c r="BT6" s="143"/>
      <c r="BU6" s="143"/>
      <c r="BV6" s="143"/>
      <c r="BW6" s="143"/>
      <c r="BX6" s="143"/>
      <c r="BY6" s="143"/>
      <c r="BZ6" s="143"/>
      <c r="CA6" s="143"/>
      <c r="CB6" s="143"/>
      <c r="CC6" s="143"/>
      <c r="CD6" s="143"/>
      <c r="CE6" s="143"/>
      <c r="CF6" s="143"/>
      <c r="CG6" s="143"/>
      <c r="CH6" s="143"/>
      <c r="CI6" s="143"/>
      <c r="CJ6" s="143"/>
    </row>
    <row r="7" spans="1:88">
      <c r="A7" s="141"/>
      <c r="B7" s="142">
        <v>4</v>
      </c>
      <c r="C7" s="142" t="s">
        <v>21</v>
      </c>
      <c r="D7" s="142">
        <v>3</v>
      </c>
      <c r="E7" s="144">
        <f t="shared" si="0"/>
        <v>1</v>
      </c>
      <c r="F7" s="142">
        <v>3</v>
      </c>
      <c r="G7" s="143">
        <f>SUM(J7,L7,N7,P7,R7,T7,V7,X7,Z7,AB7,AD7,AF7,AH7,AJ7,AL7,AN7,AP7,AR7,AT7,AV7,AX7,AZ7,BB7,BH7,BJ7)</f>
        <v>3</v>
      </c>
      <c r="H7" s="144">
        <f t="shared" si="1"/>
        <v>1</v>
      </c>
      <c r="I7" s="142"/>
      <c r="J7" s="142"/>
      <c r="K7" s="143">
        <v>3</v>
      </c>
      <c r="L7" s="143">
        <v>3</v>
      </c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3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143"/>
      <c r="BT7" s="143"/>
      <c r="BU7" s="143"/>
      <c r="BV7" s="143"/>
      <c r="BW7" s="143"/>
      <c r="BX7" s="143"/>
      <c r="BY7" s="143"/>
      <c r="BZ7" s="143"/>
      <c r="CA7" s="143"/>
      <c r="CB7" s="143"/>
      <c r="CC7" s="143"/>
      <c r="CD7" s="143"/>
      <c r="CE7" s="143"/>
      <c r="CF7" s="143"/>
      <c r="CG7" s="143"/>
      <c r="CH7" s="143"/>
      <c r="CI7" s="143"/>
      <c r="CJ7" s="143"/>
    </row>
    <row r="8" ht="17.25" customHeight="1" spans="1:88">
      <c r="A8" s="141"/>
      <c r="B8" s="142">
        <v>5</v>
      </c>
      <c r="C8" s="142" t="s">
        <v>22</v>
      </c>
      <c r="D8" s="142">
        <v>26</v>
      </c>
      <c r="E8" s="144">
        <v>0.81</v>
      </c>
      <c r="F8" s="142">
        <v>26</v>
      </c>
      <c r="G8" s="143">
        <v>21</v>
      </c>
      <c r="H8" s="144">
        <f t="shared" si="1"/>
        <v>0.807692307692308</v>
      </c>
      <c r="I8" s="142"/>
      <c r="J8" s="142"/>
      <c r="K8" s="143"/>
      <c r="L8" s="143"/>
      <c r="M8" s="143">
        <v>11</v>
      </c>
      <c r="N8" s="143">
        <v>11</v>
      </c>
      <c r="O8" s="143">
        <v>10</v>
      </c>
      <c r="P8" s="143">
        <v>10</v>
      </c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>
        <v>5</v>
      </c>
      <c r="AN8" s="143"/>
      <c r="AO8" s="143"/>
      <c r="AP8" s="143">
        <v>5</v>
      </c>
      <c r="AQ8" s="143"/>
      <c r="AR8" s="143"/>
      <c r="AS8" s="143"/>
      <c r="AT8" s="143"/>
      <c r="AU8" s="143"/>
      <c r="AV8" s="143"/>
      <c r="AW8" s="143"/>
      <c r="AX8" s="143"/>
      <c r="AY8" s="143"/>
      <c r="AZ8" s="143"/>
      <c r="BA8" s="143"/>
      <c r="BB8" s="143"/>
      <c r="BC8" s="143"/>
      <c r="BD8" s="143"/>
      <c r="BE8" s="143"/>
      <c r="BF8" s="143"/>
      <c r="BG8" s="143"/>
      <c r="BH8" s="143"/>
      <c r="BI8" s="143"/>
      <c r="BJ8" s="143"/>
      <c r="BK8" s="143"/>
      <c r="BL8" s="143"/>
      <c r="BM8" s="143"/>
      <c r="BN8" s="143"/>
      <c r="BO8" s="143"/>
      <c r="BP8" s="143"/>
      <c r="BQ8" s="143"/>
      <c r="BR8" s="143"/>
      <c r="BS8" s="143"/>
      <c r="BT8" s="143"/>
      <c r="BU8" s="143"/>
      <c r="BV8" s="143"/>
      <c r="BW8" s="143"/>
      <c r="BX8" s="143"/>
      <c r="BY8" s="143"/>
      <c r="BZ8" s="143"/>
      <c r="CA8" s="143"/>
      <c r="CB8" s="143"/>
      <c r="CC8" s="143"/>
      <c r="CD8" s="143"/>
      <c r="CE8" s="143"/>
      <c r="CF8" s="143"/>
      <c r="CG8" s="143"/>
      <c r="CH8" s="143"/>
      <c r="CI8" s="143"/>
      <c r="CJ8" s="143"/>
    </row>
    <row r="9" spans="1:88">
      <c r="A9" s="141"/>
      <c r="B9" s="142">
        <v>6</v>
      </c>
      <c r="C9" s="142" t="s">
        <v>23</v>
      </c>
      <c r="D9" s="143">
        <v>23</v>
      </c>
      <c r="E9" s="144">
        <f t="shared" si="0"/>
        <v>0.521739130434783</v>
      </c>
      <c r="F9" s="143">
        <v>23</v>
      </c>
      <c r="G9" s="143">
        <v>12</v>
      </c>
      <c r="H9" s="144">
        <f t="shared" si="1"/>
        <v>0.521739130434783</v>
      </c>
      <c r="I9" s="143"/>
      <c r="J9" s="143"/>
      <c r="K9" s="143"/>
      <c r="L9" s="143"/>
      <c r="M9" s="143"/>
      <c r="N9" s="143"/>
      <c r="O9" s="143"/>
      <c r="P9" s="143"/>
      <c r="Q9" s="143">
        <v>12</v>
      </c>
      <c r="R9" s="143">
        <v>12</v>
      </c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  <c r="BD9" s="143"/>
      <c r="BE9" s="143"/>
      <c r="BF9" s="143"/>
      <c r="BG9" s="143">
        <v>6</v>
      </c>
      <c r="BH9" s="143"/>
      <c r="BI9" s="143">
        <v>5</v>
      </c>
      <c r="BJ9" s="143"/>
      <c r="BK9" s="143"/>
      <c r="BL9" s="143"/>
      <c r="BM9" s="143"/>
      <c r="BN9" s="143"/>
      <c r="BO9" s="143"/>
      <c r="BP9" s="143"/>
      <c r="BQ9" s="143"/>
      <c r="BR9" s="143"/>
      <c r="BS9" s="143"/>
      <c r="BT9" s="143"/>
      <c r="BU9" s="143"/>
      <c r="BV9" s="143"/>
      <c r="BW9" s="143"/>
      <c r="BX9" s="143"/>
      <c r="BY9" s="143"/>
      <c r="BZ9" s="143"/>
      <c r="CA9" s="143"/>
      <c r="CB9" s="143"/>
      <c r="CC9" s="143"/>
      <c r="CD9" s="143"/>
      <c r="CE9" s="143"/>
      <c r="CF9" s="143"/>
      <c r="CG9" s="143"/>
      <c r="CH9" s="143"/>
      <c r="CI9" s="143"/>
      <c r="CJ9" s="143"/>
    </row>
    <row r="10" spans="1:88">
      <c r="A10" s="141"/>
      <c r="B10" s="142">
        <v>7</v>
      </c>
      <c r="C10" s="142" t="s">
        <v>24</v>
      </c>
      <c r="D10" s="142">
        <v>17</v>
      </c>
      <c r="E10" s="144">
        <f t="shared" ref="E10" si="2">G10/D10</f>
        <v>1</v>
      </c>
      <c r="F10" s="142">
        <v>17</v>
      </c>
      <c r="G10" s="143">
        <f>SUM(J10,L10,N10,P10,R10,T10,V10,X10,Z10,AB10,AD10,AF10,AH10,AJ10,AL10,AN10,AP10,AR10,AT10,AV10,AX10,AZ10,BB10,BH10,BJ10)</f>
        <v>17</v>
      </c>
      <c r="H10" s="144">
        <f t="shared" ref="H10" si="3">G10/F10</f>
        <v>1</v>
      </c>
      <c r="I10" s="142"/>
      <c r="J10" s="142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>
        <v>10</v>
      </c>
      <c r="X10" s="143">
        <v>10</v>
      </c>
      <c r="Y10" s="143">
        <v>7</v>
      </c>
      <c r="Z10" s="143">
        <v>7</v>
      </c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  <c r="BD10" s="143"/>
      <c r="BE10" s="143"/>
      <c r="BF10" s="143"/>
      <c r="BG10" s="143"/>
      <c r="BH10" s="143"/>
      <c r="BI10" s="143"/>
      <c r="BJ10" s="143"/>
      <c r="BK10" s="143"/>
      <c r="BL10" s="143"/>
      <c r="BM10" s="143"/>
      <c r="BN10" s="143"/>
      <c r="BO10" s="143"/>
      <c r="BP10" s="143"/>
      <c r="BQ10" s="143"/>
      <c r="BR10" s="143"/>
      <c r="BS10" s="143"/>
      <c r="BT10" s="143"/>
      <c r="BU10" s="143"/>
      <c r="BV10" s="143"/>
      <c r="BW10" s="143"/>
      <c r="BX10" s="143"/>
      <c r="BY10" s="143"/>
      <c r="BZ10" s="143"/>
      <c r="CA10" s="143"/>
      <c r="CB10" s="143"/>
      <c r="CC10" s="143"/>
      <c r="CD10" s="143"/>
      <c r="CE10" s="143"/>
      <c r="CF10" s="143"/>
      <c r="CG10" s="143"/>
      <c r="CH10" s="143"/>
      <c r="CI10" s="143"/>
      <c r="CJ10" s="143"/>
    </row>
    <row r="11" ht="15.75" customHeight="1" spans="1:88">
      <c r="A11" s="141"/>
      <c r="B11" s="142">
        <v>8</v>
      </c>
      <c r="C11" s="142" t="s">
        <v>25</v>
      </c>
      <c r="D11" s="142">
        <v>22</v>
      </c>
      <c r="E11" s="144">
        <f t="shared" si="0"/>
        <v>1</v>
      </c>
      <c r="F11" s="142">
        <v>22</v>
      </c>
      <c r="G11" s="143">
        <v>22</v>
      </c>
      <c r="H11" s="144">
        <f t="shared" si="1"/>
        <v>1</v>
      </c>
      <c r="I11" s="142"/>
      <c r="J11" s="142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>
        <v>5</v>
      </c>
      <c r="AD11" s="143">
        <v>5</v>
      </c>
      <c r="AE11" s="143">
        <v>5</v>
      </c>
      <c r="AF11" s="143">
        <v>5</v>
      </c>
      <c r="AG11" s="143">
        <v>4</v>
      </c>
      <c r="AH11" s="143">
        <v>4</v>
      </c>
      <c r="AI11" s="143">
        <v>4</v>
      </c>
      <c r="AJ11" s="143">
        <v>4</v>
      </c>
      <c r="AK11" s="143">
        <v>4</v>
      </c>
      <c r="AL11" s="143">
        <v>4</v>
      </c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  <c r="BD11" s="143"/>
      <c r="BE11" s="143"/>
      <c r="BF11" s="143"/>
      <c r="BG11" s="143"/>
      <c r="BH11" s="143"/>
      <c r="BI11" s="143"/>
      <c r="BJ11" s="143"/>
      <c r="BK11" s="143"/>
      <c r="BL11" s="143"/>
      <c r="BM11" s="143"/>
      <c r="BN11" s="143"/>
      <c r="BO11" s="143"/>
      <c r="BP11" s="143"/>
      <c r="BQ11" s="143"/>
      <c r="BR11" s="143"/>
      <c r="BS11" s="143"/>
      <c r="BT11" s="143"/>
      <c r="BU11" s="143"/>
      <c r="BV11" s="143"/>
      <c r="BW11" s="143"/>
      <c r="BX11" s="143"/>
      <c r="BY11" s="143"/>
      <c r="BZ11" s="143"/>
      <c r="CA11" s="143"/>
      <c r="CB11" s="143"/>
      <c r="CC11" s="143"/>
      <c r="CD11" s="143"/>
      <c r="CE11" s="143"/>
      <c r="CF11" s="143"/>
      <c r="CG11" s="143"/>
      <c r="CH11" s="143"/>
      <c r="CI11" s="143"/>
      <c r="CJ11" s="143"/>
    </row>
    <row r="12" spans="1:88">
      <c r="A12" s="141"/>
      <c r="B12" s="142">
        <v>9</v>
      </c>
      <c r="C12" s="142" t="s">
        <v>26</v>
      </c>
      <c r="D12" s="142">
        <v>8</v>
      </c>
      <c r="E12" s="144">
        <f t="shared" si="0"/>
        <v>0.5</v>
      </c>
      <c r="F12" s="142">
        <v>8</v>
      </c>
      <c r="G12" s="143">
        <f t="shared" ref="G12:G20" si="4">SUM(J12,L12,N12,P12,R12,T12,V12,X12,Z12,AB12,AD12,AF12,AH12,AJ12,AL12,AN12,AP12,AR12,AT12,AV12,AX12,AZ12,BB12,BH12,BJ12)</f>
        <v>4</v>
      </c>
      <c r="H12" s="144">
        <f t="shared" si="1"/>
        <v>0.5</v>
      </c>
      <c r="I12" s="142"/>
      <c r="J12" s="142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>
        <v>4</v>
      </c>
      <c r="AB12" s="143">
        <v>4</v>
      </c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/>
      <c r="BD12" s="143"/>
      <c r="BE12" s="143"/>
      <c r="BF12" s="143"/>
      <c r="BG12" s="143"/>
      <c r="BH12" s="143"/>
      <c r="BI12" s="143"/>
      <c r="BJ12" s="143"/>
      <c r="BK12" s="143"/>
      <c r="BL12" s="143"/>
      <c r="BM12" s="143"/>
      <c r="BN12" s="143"/>
      <c r="BO12" s="143"/>
      <c r="BP12" s="143"/>
      <c r="BQ12" s="143"/>
      <c r="BR12" s="143"/>
      <c r="BS12" s="143"/>
      <c r="BT12" s="143"/>
      <c r="BU12" s="143"/>
      <c r="BV12" s="143"/>
      <c r="BW12" s="143"/>
      <c r="BX12" s="143"/>
      <c r="BY12" s="143"/>
      <c r="BZ12" s="143"/>
      <c r="CA12" s="143"/>
      <c r="CB12" s="143"/>
      <c r="CC12" s="143"/>
      <c r="CD12" s="143"/>
      <c r="CE12" s="143"/>
      <c r="CF12" s="143"/>
      <c r="CG12" s="143">
        <v>4</v>
      </c>
      <c r="CH12" s="143"/>
      <c r="CI12" s="143"/>
      <c r="CJ12" s="143"/>
    </row>
    <row r="13" spans="1:88">
      <c r="A13" s="141"/>
      <c r="B13" s="142">
        <v>10</v>
      </c>
      <c r="C13" s="142" t="s">
        <v>27</v>
      </c>
      <c r="D13" s="142">
        <v>3</v>
      </c>
      <c r="E13" s="144">
        <f t="shared" ref="E13" si="5">G13/D13</f>
        <v>0</v>
      </c>
      <c r="F13" s="142">
        <v>3</v>
      </c>
      <c r="G13" s="143">
        <f t="shared" si="4"/>
        <v>0</v>
      </c>
      <c r="H13" s="144">
        <f t="shared" ref="H13" si="6">G13/F13</f>
        <v>0</v>
      </c>
      <c r="I13" s="142"/>
      <c r="J13" s="142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  <c r="BD13" s="143"/>
      <c r="BE13" s="143"/>
      <c r="BF13" s="143"/>
      <c r="BG13" s="143">
        <v>2</v>
      </c>
      <c r="BH13" s="143"/>
      <c r="BI13" s="143">
        <v>1</v>
      </c>
      <c r="BJ13" s="143"/>
      <c r="BK13" s="143"/>
      <c r="BL13" s="143"/>
      <c r="BM13" s="143"/>
      <c r="BN13" s="143"/>
      <c r="BO13" s="143"/>
      <c r="BP13" s="143"/>
      <c r="BQ13" s="143"/>
      <c r="BR13" s="143"/>
      <c r="BS13" s="143"/>
      <c r="BT13" s="143"/>
      <c r="BU13" s="143"/>
      <c r="BV13" s="143"/>
      <c r="BW13" s="143"/>
      <c r="BX13" s="143"/>
      <c r="BY13" s="143"/>
      <c r="BZ13" s="143"/>
      <c r="CA13" s="143"/>
      <c r="CB13" s="143"/>
      <c r="CC13" s="143"/>
      <c r="CD13" s="143"/>
      <c r="CE13" s="143"/>
      <c r="CF13" s="143"/>
      <c r="CG13" s="143"/>
      <c r="CH13" s="143"/>
      <c r="CI13" s="143"/>
      <c r="CJ13" s="143"/>
    </row>
    <row r="14" spans="1:88">
      <c r="A14" s="141"/>
      <c r="B14" s="142">
        <v>11</v>
      </c>
      <c r="C14" s="142" t="s">
        <v>28</v>
      </c>
      <c r="D14" s="142">
        <v>15</v>
      </c>
      <c r="E14" s="144">
        <f t="shared" si="0"/>
        <v>0</v>
      </c>
      <c r="F14" s="142">
        <v>15</v>
      </c>
      <c r="G14" s="143">
        <f t="shared" si="4"/>
        <v>0</v>
      </c>
      <c r="H14" s="144">
        <f t="shared" si="1"/>
        <v>0</v>
      </c>
      <c r="I14" s="142"/>
      <c r="J14" s="142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/>
      <c r="BD14" s="143"/>
      <c r="BE14" s="143"/>
      <c r="BF14" s="143"/>
      <c r="BG14" s="143"/>
      <c r="BH14" s="143"/>
      <c r="BI14" s="143"/>
      <c r="BJ14" s="143"/>
      <c r="BK14" s="143"/>
      <c r="BL14" s="143"/>
      <c r="BM14" s="143">
        <v>5</v>
      </c>
      <c r="BN14" s="143"/>
      <c r="BO14" s="143">
        <v>5</v>
      </c>
      <c r="BP14" s="143"/>
      <c r="BQ14" s="143">
        <v>5</v>
      </c>
      <c r="BR14" s="143"/>
      <c r="BS14" s="143"/>
      <c r="BT14" s="143"/>
      <c r="BU14" s="143"/>
      <c r="BV14" s="143"/>
      <c r="BW14" s="143"/>
      <c r="BX14" s="143"/>
      <c r="BY14" s="143"/>
      <c r="BZ14" s="143"/>
      <c r="CA14" s="143"/>
      <c r="CB14" s="143"/>
      <c r="CC14" s="143"/>
      <c r="CD14" s="143"/>
      <c r="CE14" s="143"/>
      <c r="CF14" s="143"/>
      <c r="CG14" s="143"/>
      <c r="CH14" s="143"/>
      <c r="CI14" s="143"/>
      <c r="CJ14" s="143"/>
    </row>
    <row r="15" spans="1:88">
      <c r="A15" s="141"/>
      <c r="B15" s="142">
        <v>12</v>
      </c>
      <c r="C15" s="142" t="s">
        <v>29</v>
      </c>
      <c r="D15" s="142">
        <v>35</v>
      </c>
      <c r="E15" s="144">
        <f t="shared" si="0"/>
        <v>0</v>
      </c>
      <c r="F15" s="142">
        <v>35</v>
      </c>
      <c r="G15" s="143">
        <f t="shared" si="4"/>
        <v>0</v>
      </c>
      <c r="H15" s="144">
        <f t="shared" si="1"/>
        <v>0</v>
      </c>
      <c r="I15" s="142"/>
      <c r="J15" s="142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>
        <v>5</v>
      </c>
      <c r="AR15" s="143"/>
      <c r="AS15" s="143">
        <v>5</v>
      </c>
      <c r="AT15" s="143"/>
      <c r="AU15" s="143">
        <v>5</v>
      </c>
      <c r="AV15" s="143"/>
      <c r="AW15" s="143">
        <v>5</v>
      </c>
      <c r="AX15" s="143"/>
      <c r="AY15" s="143">
        <v>5</v>
      </c>
      <c r="AZ15" s="143"/>
      <c r="BA15" s="143">
        <v>5</v>
      </c>
      <c r="BB15" s="143"/>
      <c r="BC15" s="143">
        <v>5</v>
      </c>
      <c r="BD15" s="143"/>
      <c r="BE15" s="143">
        <v>5</v>
      </c>
      <c r="BF15" s="143"/>
      <c r="BG15" s="143"/>
      <c r="BH15" s="143"/>
      <c r="BI15" s="143"/>
      <c r="BJ15" s="143"/>
      <c r="BK15" s="143"/>
      <c r="BL15" s="143"/>
      <c r="BM15" s="143"/>
      <c r="BN15" s="143"/>
      <c r="BO15" s="143"/>
      <c r="BP15" s="143"/>
      <c r="BQ15" s="143"/>
      <c r="BR15" s="143"/>
      <c r="BS15" s="143"/>
      <c r="BT15" s="143"/>
      <c r="BU15" s="143"/>
      <c r="BV15" s="143"/>
      <c r="BW15" s="143"/>
      <c r="BX15" s="143"/>
      <c r="BY15" s="143"/>
      <c r="BZ15" s="143"/>
      <c r="CA15" s="143"/>
      <c r="CB15" s="143"/>
      <c r="CC15" s="143"/>
      <c r="CD15" s="143"/>
      <c r="CE15" s="143"/>
      <c r="CF15" s="143"/>
      <c r="CG15" s="143"/>
      <c r="CH15" s="143"/>
      <c r="CI15" s="143"/>
      <c r="CJ15" s="143"/>
    </row>
    <row r="16" spans="1:88">
      <c r="A16" s="141"/>
      <c r="B16" s="142">
        <v>13</v>
      </c>
      <c r="C16" s="142" t="s">
        <v>30</v>
      </c>
      <c r="D16" s="142">
        <v>6</v>
      </c>
      <c r="E16" s="144">
        <f t="shared" si="0"/>
        <v>0</v>
      </c>
      <c r="F16" s="142">
        <v>6</v>
      </c>
      <c r="G16" s="143">
        <f t="shared" si="4"/>
        <v>0</v>
      </c>
      <c r="H16" s="144">
        <f t="shared" si="1"/>
        <v>0</v>
      </c>
      <c r="I16" s="142"/>
      <c r="J16" s="142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  <c r="BD16" s="143"/>
      <c r="BE16" s="143"/>
      <c r="BF16" s="143"/>
      <c r="BG16" s="143"/>
      <c r="BH16" s="143"/>
      <c r="BI16" s="143"/>
      <c r="BJ16" s="143"/>
      <c r="BK16" s="143">
        <v>6</v>
      </c>
      <c r="BL16" s="143"/>
      <c r="BM16" s="143"/>
      <c r="BN16" s="143"/>
      <c r="BO16" s="143"/>
      <c r="BP16" s="143"/>
      <c r="BQ16" s="143"/>
      <c r="BR16" s="143"/>
      <c r="BS16" s="143"/>
      <c r="BT16" s="143"/>
      <c r="BU16" s="143"/>
      <c r="BV16" s="143"/>
      <c r="BW16" s="143"/>
      <c r="BX16" s="143"/>
      <c r="BY16" s="143"/>
      <c r="BZ16" s="143"/>
      <c r="CA16" s="143"/>
      <c r="CB16" s="143"/>
      <c r="CC16" s="143"/>
      <c r="CD16" s="143"/>
      <c r="CE16" s="143"/>
      <c r="CF16" s="143"/>
      <c r="CG16" s="143"/>
      <c r="CH16" s="143"/>
      <c r="CI16" s="143"/>
      <c r="CJ16" s="143"/>
    </row>
    <row r="17" spans="1:88">
      <c r="A17" s="141"/>
      <c r="B17" s="142">
        <v>14</v>
      </c>
      <c r="C17" s="142" t="s">
        <v>31</v>
      </c>
      <c r="D17" s="142">
        <v>5</v>
      </c>
      <c r="E17" s="144">
        <f t="shared" si="0"/>
        <v>0</v>
      </c>
      <c r="F17" s="142">
        <v>5</v>
      </c>
      <c r="G17" s="143">
        <f t="shared" si="4"/>
        <v>0</v>
      </c>
      <c r="H17" s="144">
        <f t="shared" si="1"/>
        <v>0</v>
      </c>
      <c r="I17" s="142"/>
      <c r="J17" s="142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/>
      <c r="BC17" s="143"/>
      <c r="BD17" s="143"/>
      <c r="BE17" s="143"/>
      <c r="BF17" s="143"/>
      <c r="BG17" s="143"/>
      <c r="BH17" s="143"/>
      <c r="BI17" s="143"/>
      <c r="BJ17" s="143"/>
      <c r="BK17" s="143"/>
      <c r="BL17" s="143"/>
      <c r="BM17" s="143"/>
      <c r="BN17" s="143"/>
      <c r="BO17" s="143"/>
      <c r="BP17" s="143"/>
      <c r="BQ17" s="143"/>
      <c r="BR17" s="143"/>
      <c r="BS17" s="143"/>
      <c r="BT17" s="143"/>
      <c r="BU17" s="143"/>
      <c r="BV17" s="143"/>
      <c r="BW17" s="143"/>
      <c r="BX17" s="143"/>
      <c r="BY17" s="143"/>
      <c r="BZ17" s="143"/>
      <c r="CA17" s="143"/>
      <c r="CB17" s="143"/>
      <c r="CC17" s="143"/>
      <c r="CD17" s="143"/>
      <c r="CE17" s="143">
        <v>5</v>
      </c>
      <c r="CF17" s="143"/>
      <c r="CG17" s="143"/>
      <c r="CH17" s="143"/>
      <c r="CI17" s="143"/>
      <c r="CJ17" s="143"/>
    </row>
    <row r="18" spans="1:88">
      <c r="A18" s="141"/>
      <c r="B18" s="142">
        <v>15</v>
      </c>
      <c r="C18" s="142" t="s">
        <v>32</v>
      </c>
      <c r="D18" s="142">
        <v>15</v>
      </c>
      <c r="E18" s="144">
        <f t="shared" si="0"/>
        <v>0</v>
      </c>
      <c r="F18" s="142">
        <v>15</v>
      </c>
      <c r="G18" s="143">
        <f t="shared" si="4"/>
        <v>0</v>
      </c>
      <c r="H18" s="144">
        <f t="shared" si="1"/>
        <v>0</v>
      </c>
      <c r="I18" s="142"/>
      <c r="J18" s="142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  <c r="BD18" s="143"/>
      <c r="BE18" s="143"/>
      <c r="BF18" s="143"/>
      <c r="BG18" s="143"/>
      <c r="BH18" s="143"/>
      <c r="BI18" s="143"/>
      <c r="BJ18" s="143"/>
      <c r="BK18" s="143"/>
      <c r="BL18" s="143"/>
      <c r="BM18" s="143"/>
      <c r="BN18" s="143"/>
      <c r="BO18" s="143"/>
      <c r="BP18" s="143"/>
      <c r="BQ18" s="143"/>
      <c r="BR18" s="143"/>
      <c r="BS18" s="143"/>
      <c r="BT18" s="143"/>
      <c r="BU18" s="143"/>
      <c r="BV18" s="143"/>
      <c r="BW18" s="143"/>
      <c r="BX18" s="143"/>
      <c r="BY18" s="143"/>
      <c r="BZ18" s="143"/>
      <c r="CA18" s="143"/>
      <c r="CB18" s="143"/>
      <c r="CC18" s="143"/>
      <c r="CD18" s="143"/>
      <c r="CE18" s="143"/>
      <c r="CF18" s="143"/>
      <c r="CG18" s="143"/>
      <c r="CH18" s="143"/>
      <c r="CI18" s="143"/>
      <c r="CJ18" s="143"/>
    </row>
    <row r="19" spans="1:88">
      <c r="A19" s="141"/>
      <c r="B19" s="142">
        <v>16</v>
      </c>
      <c r="C19" s="142" t="s">
        <v>33</v>
      </c>
      <c r="D19" s="142">
        <v>17</v>
      </c>
      <c r="E19" s="144">
        <f t="shared" ref="E19" si="7">G19/D19</f>
        <v>0</v>
      </c>
      <c r="F19" s="142">
        <v>17</v>
      </c>
      <c r="G19" s="143">
        <f t="shared" si="4"/>
        <v>0</v>
      </c>
      <c r="H19" s="144">
        <f t="shared" ref="H19" si="8">G19/F19</f>
        <v>0</v>
      </c>
      <c r="I19" s="142"/>
      <c r="J19" s="142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P19" s="143"/>
      <c r="BQ19" s="143"/>
      <c r="BR19" s="143"/>
      <c r="BS19" s="143">
        <v>4</v>
      </c>
      <c r="BT19" s="143"/>
      <c r="BU19" s="143">
        <v>3</v>
      </c>
      <c r="BV19" s="143"/>
      <c r="BW19" s="143">
        <v>3</v>
      </c>
      <c r="BX19" s="143"/>
      <c r="BY19" s="143">
        <v>3</v>
      </c>
      <c r="BZ19" s="143"/>
      <c r="CA19" s="143">
        <v>2</v>
      </c>
      <c r="CB19" s="143"/>
      <c r="CC19" s="143">
        <v>2</v>
      </c>
      <c r="CD19" s="143"/>
      <c r="CE19" s="143"/>
      <c r="CF19" s="143"/>
      <c r="CG19" s="143"/>
      <c r="CH19" s="143"/>
      <c r="CI19" s="143"/>
      <c r="CJ19" s="143"/>
    </row>
    <row r="20" spans="1:88">
      <c r="A20" s="141"/>
      <c r="B20" s="142">
        <v>17</v>
      </c>
      <c r="C20" s="142" t="s">
        <v>34</v>
      </c>
      <c r="D20" s="142">
        <v>8</v>
      </c>
      <c r="E20" s="144">
        <f t="shared" si="0"/>
        <v>0</v>
      </c>
      <c r="F20" s="142">
        <v>8</v>
      </c>
      <c r="G20" s="143">
        <f t="shared" si="4"/>
        <v>0</v>
      </c>
      <c r="H20" s="144">
        <f t="shared" si="1"/>
        <v>0</v>
      </c>
      <c r="I20" s="142"/>
      <c r="J20" s="142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3"/>
      <c r="CE20" s="143"/>
      <c r="CF20" s="143"/>
      <c r="CG20" s="143">
        <v>4</v>
      </c>
      <c r="CH20" s="143"/>
      <c r="CI20" s="143">
        <v>4</v>
      </c>
      <c r="CJ20" s="143"/>
    </row>
  </sheetData>
  <mergeCells count="46">
    <mergeCell ref="B1:C1"/>
    <mergeCell ref="F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BQ2:BR2"/>
    <mergeCell ref="BS2:BT2"/>
    <mergeCell ref="BU2:BV2"/>
    <mergeCell ref="BW2:BX2"/>
    <mergeCell ref="BY2:BZ2"/>
    <mergeCell ref="CA2:CB2"/>
    <mergeCell ref="CC2:CD2"/>
    <mergeCell ref="CE2:CF2"/>
    <mergeCell ref="CG2:CH2"/>
    <mergeCell ref="CI2:CJ2"/>
    <mergeCell ref="B2:B3"/>
    <mergeCell ref="C2:C3"/>
    <mergeCell ref="D2:D3"/>
    <mergeCell ref="E2:E3"/>
  </mergeCell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2"/>
  <sheetViews>
    <sheetView workbookViewId="0">
      <selection activeCell="F21" sqref="F21"/>
    </sheetView>
  </sheetViews>
  <sheetFormatPr defaultColWidth="9" defaultRowHeight="16.5"/>
  <cols>
    <col min="1" max="1" width="1.75" style="122" customWidth="1"/>
    <col min="2" max="2" width="5" style="122" customWidth="1"/>
    <col min="3" max="3" width="14.125" style="122" customWidth="1"/>
    <col min="4" max="4" width="8" style="122" customWidth="1"/>
    <col min="5" max="8" width="7.875" style="122" customWidth="1"/>
    <col min="9" max="13" width="9" style="122"/>
    <col min="14" max="14" width="10" style="122" customWidth="1"/>
    <col min="15" max="16384" width="9" style="122"/>
  </cols>
  <sheetData>
    <row r="1" customHeight="1" spans="2:7">
      <c r="B1" s="123" t="s">
        <v>41</v>
      </c>
      <c r="C1" s="123"/>
      <c r="D1" s="124"/>
      <c r="E1" s="124"/>
      <c r="F1" s="124"/>
      <c r="G1" s="124"/>
    </row>
    <row r="2" ht="20.25" customHeight="1" spans="2:14">
      <c r="B2" s="125" t="s">
        <v>2</v>
      </c>
      <c r="C2" s="125" t="s">
        <v>3</v>
      </c>
      <c r="D2" s="125" t="s">
        <v>42</v>
      </c>
      <c r="E2" s="125" t="s">
        <v>43</v>
      </c>
      <c r="F2" s="125"/>
      <c r="G2" s="125"/>
      <c r="H2" s="125"/>
      <c r="I2" s="125" t="s">
        <v>44</v>
      </c>
      <c r="J2" s="125"/>
      <c r="K2" s="125"/>
      <c r="L2" s="125"/>
      <c r="M2" s="125" t="s">
        <v>45</v>
      </c>
      <c r="N2" s="125" t="s">
        <v>46</v>
      </c>
    </row>
    <row r="3" ht="36.75" customHeight="1" spans="2:14">
      <c r="B3" s="125"/>
      <c r="C3" s="125"/>
      <c r="D3" s="125"/>
      <c r="E3" s="125" t="s">
        <v>47</v>
      </c>
      <c r="F3" s="125" t="s">
        <v>48</v>
      </c>
      <c r="G3" s="125" t="s">
        <v>49</v>
      </c>
      <c r="H3" s="125" t="s">
        <v>50</v>
      </c>
      <c r="I3" s="125" t="s">
        <v>51</v>
      </c>
      <c r="J3" s="125" t="s">
        <v>52</v>
      </c>
      <c r="K3" s="125" t="s">
        <v>53</v>
      </c>
      <c r="L3" s="125" t="s">
        <v>54</v>
      </c>
      <c r="M3" s="125"/>
      <c r="N3" s="125"/>
    </row>
    <row r="4" spans="2:14">
      <c r="B4" s="126">
        <v>1</v>
      </c>
      <c r="C4" s="126" t="s">
        <v>55</v>
      </c>
      <c r="D4" s="126">
        <v>2</v>
      </c>
      <c r="E4" s="126">
        <v>0</v>
      </c>
      <c r="F4" s="126">
        <v>1</v>
      </c>
      <c r="G4" s="126">
        <v>1</v>
      </c>
      <c r="H4" s="126">
        <v>0</v>
      </c>
      <c r="I4" s="126">
        <v>2</v>
      </c>
      <c r="J4" s="126">
        <v>0</v>
      </c>
      <c r="K4" s="126">
        <v>0</v>
      </c>
      <c r="L4" s="126">
        <v>0</v>
      </c>
      <c r="M4" s="127">
        <f>K4/D4</f>
        <v>0</v>
      </c>
      <c r="N4" s="127" t="s">
        <v>56</v>
      </c>
    </row>
    <row r="5" spans="2:14">
      <c r="B5" s="126">
        <v>2</v>
      </c>
      <c r="C5" s="126" t="s">
        <v>19</v>
      </c>
      <c r="D5" s="126">
        <v>17</v>
      </c>
      <c r="E5" s="126">
        <v>8</v>
      </c>
      <c r="F5" s="126">
        <v>1</v>
      </c>
      <c r="G5" s="126">
        <v>8</v>
      </c>
      <c r="H5" s="126">
        <v>0</v>
      </c>
      <c r="I5" s="126">
        <v>9</v>
      </c>
      <c r="J5" s="126">
        <v>0</v>
      </c>
      <c r="K5" s="126">
        <v>8</v>
      </c>
      <c r="L5" s="126">
        <v>8</v>
      </c>
      <c r="M5" s="127">
        <f t="shared" ref="M5:M8" si="0">K5/D5</f>
        <v>0.470588235294118</v>
      </c>
      <c r="N5" s="127">
        <f t="shared" ref="N5:N8" si="1">L5/E5</f>
        <v>1</v>
      </c>
    </row>
    <row r="6" spans="2:14">
      <c r="B6" s="126">
        <v>3</v>
      </c>
      <c r="C6" s="126" t="s">
        <v>20</v>
      </c>
      <c r="D6" s="126">
        <v>8</v>
      </c>
      <c r="E6" s="126">
        <v>4</v>
      </c>
      <c r="F6" s="126">
        <v>0</v>
      </c>
      <c r="G6" s="126">
        <v>4</v>
      </c>
      <c r="H6" s="126">
        <v>0</v>
      </c>
      <c r="I6" s="126">
        <v>4</v>
      </c>
      <c r="J6" s="126">
        <v>0</v>
      </c>
      <c r="K6" s="126">
        <v>4</v>
      </c>
      <c r="L6" s="126">
        <v>4</v>
      </c>
      <c r="M6" s="127">
        <f t="shared" si="0"/>
        <v>0.5</v>
      </c>
      <c r="N6" s="127">
        <f t="shared" si="1"/>
        <v>1</v>
      </c>
    </row>
    <row r="7" spans="2:14">
      <c r="B7" s="126">
        <v>4</v>
      </c>
      <c r="C7" s="126" t="s">
        <v>21</v>
      </c>
      <c r="D7" s="126">
        <v>11</v>
      </c>
      <c r="E7" s="126">
        <v>6</v>
      </c>
      <c r="F7" s="126">
        <v>2</v>
      </c>
      <c r="G7" s="126">
        <v>3</v>
      </c>
      <c r="H7" s="126">
        <v>0</v>
      </c>
      <c r="I7" s="126">
        <v>4</v>
      </c>
      <c r="J7" s="126">
        <v>2</v>
      </c>
      <c r="K7" s="126">
        <v>4</v>
      </c>
      <c r="L7" s="126">
        <v>4</v>
      </c>
      <c r="M7" s="127">
        <f t="shared" si="0"/>
        <v>0.363636363636364</v>
      </c>
      <c r="N7" s="127">
        <f t="shared" si="1"/>
        <v>0.666666666666667</v>
      </c>
    </row>
    <row r="8" spans="2:14">
      <c r="B8" s="126">
        <v>5</v>
      </c>
      <c r="C8" s="126" t="s">
        <v>22</v>
      </c>
      <c r="D8" s="126">
        <v>29</v>
      </c>
      <c r="E8" s="126">
        <v>17</v>
      </c>
      <c r="F8" s="126">
        <v>9</v>
      </c>
      <c r="G8" s="126">
        <v>3</v>
      </c>
      <c r="H8" s="126">
        <v>0</v>
      </c>
      <c r="I8" s="126">
        <v>12</v>
      </c>
      <c r="J8" s="126">
        <v>1</v>
      </c>
      <c r="K8" s="126">
        <v>16</v>
      </c>
      <c r="L8" s="126">
        <v>16</v>
      </c>
      <c r="M8" s="127">
        <f t="shared" si="0"/>
        <v>0.551724137931034</v>
      </c>
      <c r="N8" s="127">
        <f t="shared" si="1"/>
        <v>0.941176470588235</v>
      </c>
    </row>
    <row r="9" spans="2:14">
      <c r="B9" s="126">
        <v>6</v>
      </c>
      <c r="C9" s="126" t="s">
        <v>23</v>
      </c>
      <c r="D9" s="126">
        <v>9</v>
      </c>
      <c r="E9" s="126">
        <v>8</v>
      </c>
      <c r="F9" s="126">
        <v>1</v>
      </c>
      <c r="G9" s="126">
        <v>0</v>
      </c>
      <c r="H9" s="126">
        <v>0</v>
      </c>
      <c r="I9" s="126">
        <v>1</v>
      </c>
      <c r="J9" s="126">
        <v>3</v>
      </c>
      <c r="K9" s="126">
        <v>5</v>
      </c>
      <c r="L9" s="126">
        <v>5</v>
      </c>
      <c r="M9" s="127">
        <f t="shared" ref="M9" si="2">K9/D9</f>
        <v>0.555555555555556</v>
      </c>
      <c r="N9" s="127">
        <f t="shared" ref="N9" si="3">L9/E9</f>
        <v>0.625</v>
      </c>
    </row>
    <row r="10" spans="2:14">
      <c r="B10" s="126">
        <v>7</v>
      </c>
      <c r="C10" s="126" t="s">
        <v>24</v>
      </c>
      <c r="D10" s="126">
        <v>29</v>
      </c>
      <c r="E10" s="126">
        <v>12</v>
      </c>
      <c r="F10" s="126">
        <v>6</v>
      </c>
      <c r="G10" s="126">
        <v>7</v>
      </c>
      <c r="H10" s="126">
        <v>4</v>
      </c>
      <c r="I10" s="126">
        <v>27</v>
      </c>
      <c r="J10" s="126">
        <v>10</v>
      </c>
      <c r="K10" s="126">
        <v>2</v>
      </c>
      <c r="L10" s="126">
        <v>2</v>
      </c>
      <c r="M10" s="127">
        <f t="shared" ref="M10" si="4">K10/D10</f>
        <v>0.0689655172413793</v>
      </c>
      <c r="N10" s="127">
        <f t="shared" ref="N10" si="5">L10/E10</f>
        <v>0.166666666666667</v>
      </c>
    </row>
    <row r="11" spans="2:14">
      <c r="B11" s="126">
        <v>8</v>
      </c>
      <c r="C11" s="126" t="s">
        <v>57</v>
      </c>
      <c r="D11" s="126">
        <v>8</v>
      </c>
      <c r="E11" s="126">
        <v>6</v>
      </c>
      <c r="F11" s="126">
        <v>0</v>
      </c>
      <c r="G11" s="126">
        <v>2</v>
      </c>
      <c r="H11" s="126">
        <v>0</v>
      </c>
      <c r="I11" s="126">
        <v>8</v>
      </c>
      <c r="J11" s="126">
        <v>0</v>
      </c>
      <c r="K11" s="126">
        <v>0</v>
      </c>
      <c r="L11" s="126">
        <v>0</v>
      </c>
      <c r="M11" s="127">
        <f t="shared" ref="M11" si="6">K11/D11</f>
        <v>0</v>
      </c>
      <c r="N11" s="127">
        <v>0</v>
      </c>
    </row>
    <row r="12" spans="2:14">
      <c r="B12" s="126">
        <v>8</v>
      </c>
      <c r="C12" s="126" t="s">
        <v>25</v>
      </c>
      <c r="D12" s="126">
        <v>61</v>
      </c>
      <c r="E12" s="126">
        <v>23</v>
      </c>
      <c r="F12" s="126">
        <v>3</v>
      </c>
      <c r="G12" s="126">
        <v>35</v>
      </c>
      <c r="H12" s="126">
        <v>0</v>
      </c>
      <c r="I12" s="126">
        <v>61</v>
      </c>
      <c r="J12" s="126">
        <v>0</v>
      </c>
      <c r="K12" s="126">
        <v>0</v>
      </c>
      <c r="L12" s="126">
        <v>0</v>
      </c>
      <c r="M12" s="127">
        <v>0</v>
      </c>
      <c r="N12" s="127">
        <v>0</v>
      </c>
    </row>
  </sheetData>
  <mergeCells count="8">
    <mergeCell ref="B1:C1"/>
    <mergeCell ref="E2:H2"/>
    <mergeCell ref="I2:L2"/>
    <mergeCell ref="B2:B3"/>
    <mergeCell ref="C2:C3"/>
    <mergeCell ref="D2:D3"/>
    <mergeCell ref="M2:M3"/>
    <mergeCell ref="N2:N3"/>
  </mergeCells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224"/>
  <sheetViews>
    <sheetView tabSelected="1" workbookViewId="0">
      <pane xSplit="6" ySplit="1" topLeftCell="H81" activePane="bottomRight" state="frozen"/>
      <selection/>
      <selection pane="topRight"/>
      <selection pane="bottomLeft"/>
      <selection pane="bottomRight" activeCell="T226" sqref="T226"/>
    </sheetView>
  </sheetViews>
  <sheetFormatPr defaultColWidth="9" defaultRowHeight="14.25"/>
  <cols>
    <col min="1" max="1" width="5.25" customWidth="1"/>
    <col min="2" max="2" width="6" customWidth="1"/>
    <col min="3" max="3" width="16.5" customWidth="1"/>
    <col min="4" max="4" width="8.75" customWidth="1"/>
    <col min="5" max="5" width="23.375" customWidth="1"/>
    <col min="7" max="7" width="9" style="2"/>
    <col min="10" max="10" width="9" style="3"/>
    <col min="12" max="12" width="17.375" customWidth="1"/>
    <col min="13" max="13" width="16" customWidth="1"/>
    <col min="14" max="14" width="16.5" customWidth="1"/>
    <col min="15" max="15" width="12.625" style="4" customWidth="1"/>
    <col min="16" max="16" width="19.125" customWidth="1"/>
    <col min="17" max="17" width="9" style="5"/>
    <col min="18" max="18" width="9" style="6"/>
    <col min="20" max="20" width="12.625" customWidth="1"/>
  </cols>
  <sheetData>
    <row r="1" ht="27" spans="1:20">
      <c r="A1" s="7" t="s">
        <v>58</v>
      </c>
      <c r="B1" s="7" t="s">
        <v>59</v>
      </c>
      <c r="C1" s="7" t="s">
        <v>60</v>
      </c>
      <c r="D1" s="7" t="s">
        <v>61</v>
      </c>
      <c r="E1" s="7" t="s">
        <v>62</v>
      </c>
      <c r="F1" s="7" t="s">
        <v>63</v>
      </c>
      <c r="G1" s="8" t="s">
        <v>64</v>
      </c>
      <c r="H1" s="8" t="s">
        <v>65</v>
      </c>
      <c r="I1" s="8" t="s">
        <v>66</v>
      </c>
      <c r="J1" s="22" t="s">
        <v>67</v>
      </c>
      <c r="K1" s="7" t="s">
        <v>68</v>
      </c>
      <c r="L1" s="23" t="s">
        <v>69</v>
      </c>
      <c r="M1" s="24" t="s">
        <v>70</v>
      </c>
      <c r="N1" s="23" t="s">
        <v>71</v>
      </c>
      <c r="O1" s="25" t="s">
        <v>72</v>
      </c>
      <c r="P1" s="14" t="s">
        <v>73</v>
      </c>
      <c r="Q1" s="14" t="s">
        <v>74</v>
      </c>
      <c r="R1" s="51" t="s">
        <v>75</v>
      </c>
      <c r="S1" s="52" t="s">
        <v>76</v>
      </c>
      <c r="T1" s="27" t="s">
        <v>77</v>
      </c>
    </row>
    <row r="2" ht="67.5" hidden="1" spans="1:20">
      <c r="A2" s="9">
        <f>ROW()-1</f>
        <v>1</v>
      </c>
      <c r="B2" s="7" t="s">
        <v>78</v>
      </c>
      <c r="C2" s="7" t="s">
        <v>55</v>
      </c>
      <c r="D2" s="7" t="s">
        <v>48</v>
      </c>
      <c r="E2" s="7" t="s">
        <v>79</v>
      </c>
      <c r="F2" s="10">
        <v>43522</v>
      </c>
      <c r="G2" s="11"/>
      <c r="H2" s="11" t="s">
        <v>80</v>
      </c>
      <c r="I2" s="11" t="s">
        <v>81</v>
      </c>
      <c r="J2" s="22" t="s">
        <v>82</v>
      </c>
      <c r="K2" s="10" t="str">
        <f t="shared" ref="K2:K57" si="0">IF(F2="","",IF(F2&lt;&gt;"","问题提交",IF(O2="","问题处理中","问题关闭")))</f>
        <v>问题提交</v>
      </c>
      <c r="L2" s="9" t="s">
        <v>83</v>
      </c>
      <c r="M2" s="24"/>
      <c r="N2" s="9" t="s">
        <v>84</v>
      </c>
      <c r="O2" s="26"/>
      <c r="P2" s="27"/>
      <c r="Q2" s="53"/>
      <c r="R2" s="27"/>
      <c r="S2" s="54"/>
      <c r="T2" s="27" t="s">
        <v>85</v>
      </c>
    </row>
    <row r="3" ht="115.5" customHeight="1" spans="1:20">
      <c r="A3" s="9">
        <f t="shared" ref="A3:A66" si="1">ROW()-1</f>
        <v>2</v>
      </c>
      <c r="B3" s="7" t="s">
        <v>78</v>
      </c>
      <c r="C3" s="7" t="s">
        <v>86</v>
      </c>
      <c r="D3" s="7" t="s">
        <v>47</v>
      </c>
      <c r="E3" s="7" t="s">
        <v>87</v>
      </c>
      <c r="F3" s="10">
        <v>43522</v>
      </c>
      <c r="G3" s="11">
        <v>43524</v>
      </c>
      <c r="H3" s="11" t="s">
        <v>80</v>
      </c>
      <c r="I3" s="11" t="s">
        <v>81</v>
      </c>
      <c r="J3" s="22" t="s">
        <v>88</v>
      </c>
      <c r="K3" s="10" t="s">
        <v>89</v>
      </c>
      <c r="L3" s="9" t="s">
        <v>90</v>
      </c>
      <c r="M3" s="24" t="s">
        <v>91</v>
      </c>
      <c r="N3" s="9" t="s">
        <v>92</v>
      </c>
      <c r="O3" s="28" t="s">
        <v>93</v>
      </c>
      <c r="P3" s="19" t="s">
        <v>94</v>
      </c>
      <c r="Q3" s="53">
        <v>43524</v>
      </c>
      <c r="R3" s="55" t="s">
        <v>95</v>
      </c>
      <c r="S3" s="54" t="s">
        <v>96</v>
      </c>
      <c r="T3" s="27"/>
    </row>
    <row r="4" ht="40.5" hidden="1" spans="1:20">
      <c r="A4" s="9">
        <f t="shared" si="1"/>
        <v>3</v>
      </c>
      <c r="B4" s="7" t="s">
        <v>78</v>
      </c>
      <c r="C4" s="7" t="s">
        <v>86</v>
      </c>
      <c r="D4" s="7" t="s">
        <v>48</v>
      </c>
      <c r="E4" s="7" t="s">
        <v>97</v>
      </c>
      <c r="F4" s="10">
        <v>43522</v>
      </c>
      <c r="G4" s="11"/>
      <c r="H4" s="11"/>
      <c r="I4" s="11"/>
      <c r="J4" s="22" t="s">
        <v>82</v>
      </c>
      <c r="K4" s="10" t="str">
        <f t="shared" si="0"/>
        <v>问题提交</v>
      </c>
      <c r="L4" s="9" t="s">
        <v>98</v>
      </c>
      <c r="M4" s="24"/>
      <c r="N4" s="9" t="s">
        <v>99</v>
      </c>
      <c r="O4" s="15"/>
      <c r="P4" s="19"/>
      <c r="Q4" s="19"/>
      <c r="R4" s="19"/>
      <c r="S4" s="54"/>
      <c r="T4" s="27" t="s">
        <v>85</v>
      </c>
    </row>
    <row r="5" ht="38.25" customHeight="1" spans="1:20">
      <c r="A5" s="9">
        <f t="shared" si="1"/>
        <v>4</v>
      </c>
      <c r="B5" s="7" t="s">
        <v>78</v>
      </c>
      <c r="C5" s="7" t="s">
        <v>86</v>
      </c>
      <c r="D5" s="7" t="s">
        <v>47</v>
      </c>
      <c r="E5" s="7" t="s">
        <v>100</v>
      </c>
      <c r="F5" s="10">
        <v>43522</v>
      </c>
      <c r="G5" s="11">
        <v>43535</v>
      </c>
      <c r="H5" s="11" t="s">
        <v>80</v>
      </c>
      <c r="I5" s="11" t="s">
        <v>81</v>
      </c>
      <c r="J5" s="22" t="s">
        <v>88</v>
      </c>
      <c r="K5" s="10" t="s">
        <v>89</v>
      </c>
      <c r="L5" s="9" t="s">
        <v>101</v>
      </c>
      <c r="M5" s="24" t="s">
        <v>91</v>
      </c>
      <c r="N5" s="9" t="s">
        <v>102</v>
      </c>
      <c r="O5" s="29">
        <v>43535</v>
      </c>
      <c r="P5" s="19" t="s">
        <v>103</v>
      </c>
      <c r="Q5" s="14">
        <v>43535</v>
      </c>
      <c r="R5" s="55" t="s">
        <v>95</v>
      </c>
      <c r="S5" s="56" t="s">
        <v>96</v>
      </c>
      <c r="T5" s="27"/>
    </row>
    <row r="6" ht="54" hidden="1" spans="1:20">
      <c r="A6" s="9">
        <f t="shared" si="1"/>
        <v>5</v>
      </c>
      <c r="B6" s="7" t="s">
        <v>78</v>
      </c>
      <c r="C6" s="7" t="s">
        <v>86</v>
      </c>
      <c r="D6" s="7" t="s">
        <v>49</v>
      </c>
      <c r="E6" s="7" t="s">
        <v>104</v>
      </c>
      <c r="F6" s="10">
        <v>43522</v>
      </c>
      <c r="G6" s="11"/>
      <c r="H6" s="11"/>
      <c r="I6" s="11"/>
      <c r="J6" s="22" t="s">
        <v>105</v>
      </c>
      <c r="K6" s="10" t="str">
        <f t="shared" si="0"/>
        <v>问题提交</v>
      </c>
      <c r="L6" s="9" t="s">
        <v>106</v>
      </c>
      <c r="M6" s="24"/>
      <c r="N6" s="9" t="s">
        <v>107</v>
      </c>
      <c r="O6" s="15"/>
      <c r="P6" s="19"/>
      <c r="Q6" s="19"/>
      <c r="R6" s="19"/>
      <c r="S6" s="54"/>
      <c r="T6" s="27" t="s">
        <v>85</v>
      </c>
    </row>
    <row r="7" ht="67.5" hidden="1" spans="1:20">
      <c r="A7" s="9">
        <f t="shared" si="1"/>
        <v>6</v>
      </c>
      <c r="B7" s="7" t="s">
        <v>78</v>
      </c>
      <c r="C7" s="7" t="s">
        <v>86</v>
      </c>
      <c r="D7" s="7" t="s">
        <v>49</v>
      </c>
      <c r="E7" s="7" t="s">
        <v>108</v>
      </c>
      <c r="F7" s="10">
        <v>43522</v>
      </c>
      <c r="G7" s="11"/>
      <c r="H7" s="11"/>
      <c r="I7" s="11"/>
      <c r="J7" s="22" t="s">
        <v>105</v>
      </c>
      <c r="K7" s="10" t="str">
        <f t="shared" si="0"/>
        <v>问题提交</v>
      </c>
      <c r="L7" s="9" t="s">
        <v>109</v>
      </c>
      <c r="M7" s="24"/>
      <c r="N7" s="9" t="s">
        <v>110</v>
      </c>
      <c r="O7" s="15"/>
      <c r="P7" s="19"/>
      <c r="Q7" s="19"/>
      <c r="R7" s="19"/>
      <c r="S7" s="54"/>
      <c r="T7" s="27" t="s">
        <v>111</v>
      </c>
    </row>
    <row r="8" ht="35.25" customHeight="1" spans="1:20">
      <c r="A8" s="9">
        <f t="shared" si="1"/>
        <v>7</v>
      </c>
      <c r="B8" s="7" t="s">
        <v>78</v>
      </c>
      <c r="C8" s="7" t="s">
        <v>86</v>
      </c>
      <c r="D8" s="7" t="s">
        <v>47</v>
      </c>
      <c r="E8" s="7" t="s">
        <v>112</v>
      </c>
      <c r="F8" s="10">
        <v>43522</v>
      </c>
      <c r="G8" s="11">
        <v>43524</v>
      </c>
      <c r="H8" s="11" t="s">
        <v>80</v>
      </c>
      <c r="I8" s="11" t="s">
        <v>81</v>
      </c>
      <c r="J8" s="22" t="s">
        <v>88</v>
      </c>
      <c r="K8" s="10" t="s">
        <v>89</v>
      </c>
      <c r="L8" s="9" t="s">
        <v>47</v>
      </c>
      <c r="M8" s="24" t="s">
        <v>91</v>
      </c>
      <c r="N8" s="9" t="s">
        <v>113</v>
      </c>
      <c r="O8" s="28">
        <v>43524</v>
      </c>
      <c r="P8" s="19" t="s">
        <v>114</v>
      </c>
      <c r="Q8" s="53">
        <v>43524</v>
      </c>
      <c r="R8" s="55" t="s">
        <v>95</v>
      </c>
      <c r="S8" s="54" t="s">
        <v>96</v>
      </c>
      <c r="T8" s="27"/>
    </row>
    <row r="9" ht="40.5" hidden="1" spans="1:20">
      <c r="A9" s="9">
        <f t="shared" si="1"/>
        <v>8</v>
      </c>
      <c r="B9" s="7" t="s">
        <v>78</v>
      </c>
      <c r="C9" s="7" t="s">
        <v>86</v>
      </c>
      <c r="D9" s="7" t="s">
        <v>49</v>
      </c>
      <c r="E9" s="7" t="s">
        <v>115</v>
      </c>
      <c r="F9" s="10">
        <v>43522</v>
      </c>
      <c r="G9" s="11"/>
      <c r="H9" s="11"/>
      <c r="I9" s="11"/>
      <c r="J9" s="22" t="s">
        <v>105</v>
      </c>
      <c r="K9" s="10" t="str">
        <f t="shared" si="0"/>
        <v>问题提交</v>
      </c>
      <c r="L9" s="9" t="s">
        <v>98</v>
      </c>
      <c r="M9" s="24"/>
      <c r="N9" s="9" t="s">
        <v>116</v>
      </c>
      <c r="O9" s="26"/>
      <c r="P9" s="27"/>
      <c r="Q9" s="27"/>
      <c r="R9" s="19"/>
      <c r="S9" s="54"/>
      <c r="T9" s="27" t="s">
        <v>111</v>
      </c>
    </row>
    <row r="10" ht="67.5" spans="1:20">
      <c r="A10" s="9">
        <f t="shared" si="1"/>
        <v>9</v>
      </c>
      <c r="B10" s="7" t="s">
        <v>78</v>
      </c>
      <c r="C10" s="7" t="s">
        <v>86</v>
      </c>
      <c r="D10" s="7" t="s">
        <v>117</v>
      </c>
      <c r="E10" s="7" t="s">
        <v>118</v>
      </c>
      <c r="F10" s="10">
        <v>43522</v>
      </c>
      <c r="G10" s="11">
        <v>43524</v>
      </c>
      <c r="H10" s="11" t="s">
        <v>80</v>
      </c>
      <c r="I10" s="11" t="s">
        <v>81</v>
      </c>
      <c r="J10" s="22" t="s">
        <v>88</v>
      </c>
      <c r="K10" s="10" t="s">
        <v>89</v>
      </c>
      <c r="L10" s="9" t="s">
        <v>47</v>
      </c>
      <c r="M10" s="24" t="s">
        <v>91</v>
      </c>
      <c r="N10" s="9" t="s">
        <v>119</v>
      </c>
      <c r="O10" s="28">
        <v>43524</v>
      </c>
      <c r="P10" s="19" t="s">
        <v>120</v>
      </c>
      <c r="Q10" s="53">
        <v>43524</v>
      </c>
      <c r="R10" s="55" t="s">
        <v>95</v>
      </c>
      <c r="S10" s="54" t="s">
        <v>96</v>
      </c>
      <c r="T10" s="27"/>
    </row>
    <row r="11" ht="27" hidden="1" spans="1:20">
      <c r="A11" s="9">
        <f t="shared" si="1"/>
        <v>10</v>
      </c>
      <c r="B11" s="7" t="s">
        <v>78</v>
      </c>
      <c r="C11" s="7" t="s">
        <v>86</v>
      </c>
      <c r="D11" s="7" t="s">
        <v>49</v>
      </c>
      <c r="E11" s="7" t="s">
        <v>121</v>
      </c>
      <c r="F11" s="10">
        <v>43522</v>
      </c>
      <c r="G11" s="11"/>
      <c r="H11" s="11"/>
      <c r="I11" s="11"/>
      <c r="J11" s="22" t="s">
        <v>105</v>
      </c>
      <c r="K11" s="10" t="str">
        <f t="shared" si="0"/>
        <v>问题提交</v>
      </c>
      <c r="L11" s="9" t="s">
        <v>122</v>
      </c>
      <c r="M11" s="24"/>
      <c r="N11" s="9" t="s">
        <v>123</v>
      </c>
      <c r="O11" s="15"/>
      <c r="P11" s="19"/>
      <c r="Q11" s="19"/>
      <c r="R11" s="19"/>
      <c r="S11" s="54"/>
      <c r="T11" s="27" t="s">
        <v>85</v>
      </c>
    </row>
    <row r="12" ht="54" spans="1:20">
      <c r="A12" s="9">
        <f t="shared" si="1"/>
        <v>11</v>
      </c>
      <c r="B12" s="7" t="s">
        <v>78</v>
      </c>
      <c r="C12" s="7" t="s">
        <v>124</v>
      </c>
      <c r="D12" s="7" t="s">
        <v>47</v>
      </c>
      <c r="E12" s="12" t="s">
        <v>125</v>
      </c>
      <c r="F12" s="10">
        <v>43522</v>
      </c>
      <c r="G12" s="11">
        <v>43524</v>
      </c>
      <c r="H12" s="11" t="s">
        <v>80</v>
      </c>
      <c r="I12" s="11" t="s">
        <v>81</v>
      </c>
      <c r="J12" s="22" t="s">
        <v>88</v>
      </c>
      <c r="K12" s="10" t="s">
        <v>89</v>
      </c>
      <c r="L12" s="9" t="s">
        <v>126</v>
      </c>
      <c r="M12" s="24" t="s">
        <v>127</v>
      </c>
      <c r="N12" s="9" t="s">
        <v>128</v>
      </c>
      <c r="O12" s="28">
        <v>43524</v>
      </c>
      <c r="P12" s="19" t="s">
        <v>129</v>
      </c>
      <c r="Q12" s="53">
        <v>43524</v>
      </c>
      <c r="R12" s="55" t="s">
        <v>95</v>
      </c>
      <c r="S12" s="54" t="s">
        <v>96</v>
      </c>
      <c r="T12" s="27"/>
    </row>
    <row r="13" ht="27" hidden="1" spans="1:20">
      <c r="A13" s="9">
        <f t="shared" si="1"/>
        <v>12</v>
      </c>
      <c r="B13" s="7" t="s">
        <v>78</v>
      </c>
      <c r="C13" s="7" t="s">
        <v>124</v>
      </c>
      <c r="D13" s="7" t="s">
        <v>49</v>
      </c>
      <c r="E13" s="7" t="s">
        <v>130</v>
      </c>
      <c r="F13" s="10">
        <v>43522</v>
      </c>
      <c r="G13" s="11"/>
      <c r="H13" s="11"/>
      <c r="I13" s="11"/>
      <c r="J13" s="22" t="s">
        <v>82</v>
      </c>
      <c r="K13" s="10" t="str">
        <f t="shared" si="0"/>
        <v>问题提交</v>
      </c>
      <c r="L13" s="9" t="s">
        <v>131</v>
      </c>
      <c r="M13" s="24"/>
      <c r="N13" s="9" t="s">
        <v>132</v>
      </c>
      <c r="O13" s="26"/>
      <c r="P13" s="27"/>
      <c r="Q13" s="27"/>
      <c r="R13" s="19"/>
      <c r="S13" s="54"/>
      <c r="T13" s="27" t="s">
        <v>85</v>
      </c>
    </row>
    <row r="14" ht="40.5" spans="1:20">
      <c r="A14" s="9">
        <f t="shared" si="1"/>
        <v>13</v>
      </c>
      <c r="B14" s="7" t="s">
        <v>78</v>
      </c>
      <c r="C14" s="7" t="s">
        <v>124</v>
      </c>
      <c r="D14" s="7" t="s">
        <v>47</v>
      </c>
      <c r="E14" s="7" t="s">
        <v>133</v>
      </c>
      <c r="F14" s="10">
        <v>43522</v>
      </c>
      <c r="G14" s="11">
        <v>43524</v>
      </c>
      <c r="H14" s="11" t="s">
        <v>80</v>
      </c>
      <c r="I14" s="11" t="s">
        <v>81</v>
      </c>
      <c r="J14" s="22" t="s">
        <v>88</v>
      </c>
      <c r="K14" s="10" t="s">
        <v>89</v>
      </c>
      <c r="L14" s="9" t="s">
        <v>47</v>
      </c>
      <c r="M14" s="24" t="s">
        <v>91</v>
      </c>
      <c r="N14" s="9" t="s">
        <v>134</v>
      </c>
      <c r="O14" s="30">
        <v>43524</v>
      </c>
      <c r="P14" s="27" t="s">
        <v>135</v>
      </c>
      <c r="Q14" s="53">
        <v>43524</v>
      </c>
      <c r="R14" s="55" t="s">
        <v>95</v>
      </c>
      <c r="S14" s="54" t="s">
        <v>96</v>
      </c>
      <c r="T14" s="27"/>
    </row>
    <row r="15" ht="27" hidden="1" spans="1:20">
      <c r="A15" s="9">
        <f t="shared" si="1"/>
        <v>14</v>
      </c>
      <c r="B15" s="7" t="s">
        <v>136</v>
      </c>
      <c r="C15" s="7" t="s">
        <v>86</v>
      </c>
      <c r="D15" s="7" t="s">
        <v>49</v>
      </c>
      <c r="E15" s="7" t="s">
        <v>137</v>
      </c>
      <c r="F15" s="10">
        <v>43523</v>
      </c>
      <c r="G15" s="11"/>
      <c r="H15" s="11"/>
      <c r="I15" s="11"/>
      <c r="J15" s="22" t="s">
        <v>82</v>
      </c>
      <c r="K15" s="10" t="str">
        <f t="shared" si="0"/>
        <v>问题提交</v>
      </c>
      <c r="L15" s="9" t="s">
        <v>138</v>
      </c>
      <c r="M15" s="24"/>
      <c r="N15" s="9" t="s">
        <v>139</v>
      </c>
      <c r="O15" s="15"/>
      <c r="P15" s="19"/>
      <c r="Q15" s="19"/>
      <c r="R15" s="19"/>
      <c r="S15" s="54"/>
      <c r="T15" s="27" t="s">
        <v>85</v>
      </c>
    </row>
    <row r="16" ht="40.5" hidden="1" spans="1:20">
      <c r="A16" s="9">
        <f t="shared" si="1"/>
        <v>15</v>
      </c>
      <c r="B16" s="7" t="s">
        <v>140</v>
      </c>
      <c r="C16" s="7" t="s">
        <v>86</v>
      </c>
      <c r="D16" s="7" t="s">
        <v>49</v>
      </c>
      <c r="E16" s="7" t="s">
        <v>141</v>
      </c>
      <c r="F16" s="10">
        <v>43523</v>
      </c>
      <c r="G16" s="11"/>
      <c r="H16" s="11"/>
      <c r="I16" s="11"/>
      <c r="J16" s="22" t="s">
        <v>82</v>
      </c>
      <c r="K16" s="10" t="str">
        <f t="shared" si="0"/>
        <v>问题提交</v>
      </c>
      <c r="L16" s="9" t="s">
        <v>142</v>
      </c>
      <c r="M16" s="24"/>
      <c r="N16" s="9" t="s">
        <v>143</v>
      </c>
      <c r="O16" s="15"/>
      <c r="P16" s="19"/>
      <c r="Q16" s="19"/>
      <c r="R16" s="19"/>
      <c r="S16" s="54"/>
      <c r="T16" s="27" t="s">
        <v>85</v>
      </c>
    </row>
    <row r="17" ht="40.5" spans="1:20">
      <c r="A17" s="9">
        <f t="shared" si="1"/>
        <v>16</v>
      </c>
      <c r="B17" s="7" t="s">
        <v>140</v>
      </c>
      <c r="C17" s="7" t="s">
        <v>86</v>
      </c>
      <c r="D17" s="7" t="s">
        <v>47</v>
      </c>
      <c r="E17" s="7" t="s">
        <v>144</v>
      </c>
      <c r="F17" s="10">
        <v>43523</v>
      </c>
      <c r="G17" s="11">
        <v>43524</v>
      </c>
      <c r="H17" s="11" t="s">
        <v>80</v>
      </c>
      <c r="I17" s="11" t="s">
        <v>81</v>
      </c>
      <c r="J17" s="22" t="s">
        <v>88</v>
      </c>
      <c r="K17" s="10" t="s">
        <v>89</v>
      </c>
      <c r="L17" s="9" t="s">
        <v>145</v>
      </c>
      <c r="M17" s="24" t="s">
        <v>146</v>
      </c>
      <c r="N17" s="9" t="s">
        <v>147</v>
      </c>
      <c r="O17" s="30">
        <v>43524</v>
      </c>
      <c r="P17" s="27" t="s">
        <v>148</v>
      </c>
      <c r="Q17" s="53">
        <v>43524</v>
      </c>
      <c r="R17" s="55" t="s">
        <v>95</v>
      </c>
      <c r="S17" s="54" t="s">
        <v>149</v>
      </c>
      <c r="T17" s="27"/>
    </row>
    <row r="18" ht="54" spans="1:20">
      <c r="A18" s="9">
        <f t="shared" si="1"/>
        <v>17</v>
      </c>
      <c r="B18" s="7" t="s">
        <v>140</v>
      </c>
      <c r="C18" s="7" t="s">
        <v>86</v>
      </c>
      <c r="D18" s="7" t="s">
        <v>47</v>
      </c>
      <c r="E18" s="7" t="s">
        <v>150</v>
      </c>
      <c r="F18" s="10">
        <v>43523</v>
      </c>
      <c r="G18" s="11">
        <v>43524</v>
      </c>
      <c r="H18" s="11" t="s">
        <v>80</v>
      </c>
      <c r="I18" s="11" t="s">
        <v>81</v>
      </c>
      <c r="J18" s="22" t="s">
        <v>88</v>
      </c>
      <c r="K18" s="10" t="s">
        <v>89</v>
      </c>
      <c r="L18" s="9" t="s">
        <v>151</v>
      </c>
      <c r="M18" s="24" t="s">
        <v>152</v>
      </c>
      <c r="N18" s="9" t="s">
        <v>153</v>
      </c>
      <c r="O18" s="30">
        <v>43524</v>
      </c>
      <c r="P18" s="27" t="s">
        <v>148</v>
      </c>
      <c r="Q18" s="53">
        <v>43524</v>
      </c>
      <c r="R18" s="55" t="s">
        <v>95</v>
      </c>
      <c r="S18" s="54" t="s">
        <v>149</v>
      </c>
      <c r="T18" s="27"/>
    </row>
    <row r="19" ht="27" hidden="1" spans="1:20">
      <c r="A19" s="9">
        <f t="shared" si="1"/>
        <v>18</v>
      </c>
      <c r="B19" s="7" t="s">
        <v>136</v>
      </c>
      <c r="C19" s="7" t="s">
        <v>86</v>
      </c>
      <c r="D19" s="7" t="s">
        <v>49</v>
      </c>
      <c r="E19" s="7" t="s">
        <v>154</v>
      </c>
      <c r="F19" s="10">
        <v>43523</v>
      </c>
      <c r="G19" s="11"/>
      <c r="H19" s="11"/>
      <c r="I19" s="11"/>
      <c r="J19" s="22" t="s">
        <v>105</v>
      </c>
      <c r="K19" s="10" t="str">
        <f t="shared" si="0"/>
        <v>问题提交</v>
      </c>
      <c r="L19" s="9"/>
      <c r="M19" s="31"/>
      <c r="N19" s="9"/>
      <c r="O19" s="15"/>
      <c r="P19" s="19"/>
      <c r="Q19" s="19"/>
      <c r="R19" s="19"/>
      <c r="S19" s="54"/>
      <c r="T19" s="27" t="s">
        <v>111</v>
      </c>
    </row>
    <row r="20" ht="67.5" hidden="1" spans="1:20">
      <c r="A20" s="9">
        <f t="shared" si="1"/>
        <v>19</v>
      </c>
      <c r="B20" s="7" t="s">
        <v>155</v>
      </c>
      <c r="C20" s="7" t="s">
        <v>55</v>
      </c>
      <c r="D20" s="7" t="s">
        <v>49</v>
      </c>
      <c r="E20" s="7" t="s">
        <v>156</v>
      </c>
      <c r="F20" s="10">
        <v>43523</v>
      </c>
      <c r="G20" s="13"/>
      <c r="H20" s="13"/>
      <c r="I20" s="13"/>
      <c r="J20" s="22" t="s">
        <v>82</v>
      </c>
      <c r="K20" s="10" t="str">
        <f t="shared" si="0"/>
        <v>问题提交</v>
      </c>
      <c r="L20" s="9" t="s">
        <v>157</v>
      </c>
      <c r="M20" s="32"/>
      <c r="N20" s="9" t="s">
        <v>158</v>
      </c>
      <c r="O20" s="15"/>
      <c r="P20" s="19"/>
      <c r="Q20" s="19"/>
      <c r="R20" s="19"/>
      <c r="S20" s="54"/>
      <c r="T20" s="27" t="s">
        <v>85</v>
      </c>
    </row>
    <row r="21" ht="27" spans="1:20">
      <c r="A21" s="9">
        <f t="shared" si="1"/>
        <v>20</v>
      </c>
      <c r="B21" s="7" t="s">
        <v>78</v>
      </c>
      <c r="C21" s="7" t="s">
        <v>159</v>
      </c>
      <c r="D21" s="7" t="s">
        <v>47</v>
      </c>
      <c r="E21" s="7" t="s">
        <v>160</v>
      </c>
      <c r="F21" s="10">
        <v>43522</v>
      </c>
      <c r="G21" s="11">
        <v>43529</v>
      </c>
      <c r="H21" s="14" t="s">
        <v>80</v>
      </c>
      <c r="I21" s="11" t="s">
        <v>81</v>
      </c>
      <c r="J21" s="22" t="s">
        <v>88</v>
      </c>
      <c r="K21" s="10" t="s">
        <v>89</v>
      </c>
      <c r="L21" s="9" t="s">
        <v>161</v>
      </c>
      <c r="M21" s="33" t="s">
        <v>162</v>
      </c>
      <c r="N21" s="9" t="s">
        <v>163</v>
      </c>
      <c r="O21" s="30">
        <v>43529</v>
      </c>
      <c r="P21" s="27" t="s">
        <v>164</v>
      </c>
      <c r="Q21" s="57">
        <v>43529</v>
      </c>
      <c r="R21" s="58" t="s">
        <v>95</v>
      </c>
      <c r="S21" s="54" t="s">
        <v>165</v>
      </c>
      <c r="T21" s="27"/>
    </row>
    <row r="22" ht="27" hidden="1" spans="1:20">
      <c r="A22" s="9">
        <f t="shared" si="1"/>
        <v>21</v>
      </c>
      <c r="B22" s="7" t="s">
        <v>78</v>
      </c>
      <c r="C22" s="7" t="s">
        <v>159</v>
      </c>
      <c r="D22" s="7" t="s">
        <v>49</v>
      </c>
      <c r="E22" s="7" t="s">
        <v>166</v>
      </c>
      <c r="F22" s="10">
        <v>43522</v>
      </c>
      <c r="G22" s="14"/>
      <c r="H22" s="14"/>
      <c r="I22" s="14"/>
      <c r="J22" s="22" t="s">
        <v>105</v>
      </c>
      <c r="K22" s="10" t="str">
        <f t="shared" si="0"/>
        <v>问题提交</v>
      </c>
      <c r="L22" s="7" t="s">
        <v>167</v>
      </c>
      <c r="M22" s="34"/>
      <c r="N22" s="9"/>
      <c r="O22" s="15"/>
      <c r="P22" s="19"/>
      <c r="Q22" s="19"/>
      <c r="R22" s="20"/>
      <c r="S22" s="54"/>
      <c r="T22" s="27" t="s">
        <v>85</v>
      </c>
    </row>
    <row r="23" ht="27" hidden="1" spans="1:20">
      <c r="A23" s="9">
        <f t="shared" si="1"/>
        <v>22</v>
      </c>
      <c r="B23" s="7" t="s">
        <v>78</v>
      </c>
      <c r="C23" s="7" t="s">
        <v>159</v>
      </c>
      <c r="D23" s="7" t="s">
        <v>49</v>
      </c>
      <c r="E23" s="7" t="s">
        <v>168</v>
      </c>
      <c r="F23" s="10">
        <v>43522</v>
      </c>
      <c r="G23" s="14"/>
      <c r="H23" s="14"/>
      <c r="I23" s="14"/>
      <c r="J23" s="22" t="s">
        <v>105</v>
      </c>
      <c r="K23" s="10" t="str">
        <f t="shared" si="0"/>
        <v>问题提交</v>
      </c>
      <c r="L23" s="7" t="s">
        <v>169</v>
      </c>
      <c r="M23" s="35"/>
      <c r="N23" s="9" t="s">
        <v>170</v>
      </c>
      <c r="O23" s="15"/>
      <c r="P23" s="19"/>
      <c r="Q23" s="19"/>
      <c r="R23" s="20"/>
      <c r="S23" s="54"/>
      <c r="T23" s="27" t="s">
        <v>85</v>
      </c>
    </row>
    <row r="24" ht="40.5" spans="1:20">
      <c r="A24" s="9">
        <f t="shared" si="1"/>
        <v>23</v>
      </c>
      <c r="B24" s="7" t="s">
        <v>78</v>
      </c>
      <c r="C24" s="7" t="s">
        <v>171</v>
      </c>
      <c r="D24" s="7" t="s">
        <v>117</v>
      </c>
      <c r="E24" s="7" t="s">
        <v>172</v>
      </c>
      <c r="F24" s="10">
        <v>43522</v>
      </c>
      <c r="G24" s="11">
        <v>43523</v>
      </c>
      <c r="H24" s="11" t="s">
        <v>80</v>
      </c>
      <c r="I24" s="11" t="s">
        <v>81</v>
      </c>
      <c r="J24" s="22" t="s">
        <v>88</v>
      </c>
      <c r="K24" s="10" t="s">
        <v>89</v>
      </c>
      <c r="L24" s="9" t="s">
        <v>117</v>
      </c>
      <c r="M24" s="24" t="s">
        <v>162</v>
      </c>
      <c r="N24" s="9" t="s">
        <v>173</v>
      </c>
      <c r="O24" s="29">
        <v>43523</v>
      </c>
      <c r="P24" s="36" t="s">
        <v>174</v>
      </c>
      <c r="Q24" s="53">
        <v>43523</v>
      </c>
      <c r="R24" s="58" t="s">
        <v>95</v>
      </c>
      <c r="S24" s="54" t="s">
        <v>96</v>
      </c>
      <c r="T24" s="27"/>
    </row>
    <row r="25" ht="13.5" hidden="1" spans="1:20">
      <c r="A25" s="9">
        <f t="shared" si="1"/>
        <v>24</v>
      </c>
      <c r="B25" s="7" t="s">
        <v>78</v>
      </c>
      <c r="C25" s="7" t="s">
        <v>171</v>
      </c>
      <c r="D25" s="7" t="s">
        <v>49</v>
      </c>
      <c r="E25" s="7" t="s">
        <v>175</v>
      </c>
      <c r="F25" s="10">
        <v>43522</v>
      </c>
      <c r="G25" s="11"/>
      <c r="H25" s="11"/>
      <c r="I25" s="11"/>
      <c r="J25" s="22" t="s">
        <v>105</v>
      </c>
      <c r="K25" s="10" t="str">
        <f t="shared" si="0"/>
        <v>问题提交</v>
      </c>
      <c r="L25" s="9" t="s">
        <v>176</v>
      </c>
      <c r="M25" s="24"/>
      <c r="N25" s="9" t="s">
        <v>177</v>
      </c>
      <c r="O25" s="37"/>
      <c r="P25" s="36"/>
      <c r="Q25" s="53"/>
      <c r="R25" s="20"/>
      <c r="S25" s="54"/>
      <c r="T25" s="27" t="s">
        <v>111</v>
      </c>
    </row>
    <row r="26" ht="27" spans="1:20">
      <c r="A26" s="9">
        <f t="shared" si="1"/>
        <v>25</v>
      </c>
      <c r="B26" s="7" t="s">
        <v>78</v>
      </c>
      <c r="C26" s="7" t="s">
        <v>171</v>
      </c>
      <c r="D26" s="7" t="s">
        <v>47</v>
      </c>
      <c r="E26" s="7" t="s">
        <v>178</v>
      </c>
      <c r="F26" s="10">
        <v>43522</v>
      </c>
      <c r="G26" s="11">
        <v>43523</v>
      </c>
      <c r="H26" s="11" t="s">
        <v>80</v>
      </c>
      <c r="I26" s="11" t="s">
        <v>81</v>
      </c>
      <c r="J26" s="22" t="s">
        <v>88</v>
      </c>
      <c r="K26" s="10" t="s">
        <v>89</v>
      </c>
      <c r="L26" s="9" t="s">
        <v>47</v>
      </c>
      <c r="M26" s="24" t="s">
        <v>179</v>
      </c>
      <c r="N26" s="9" t="s">
        <v>180</v>
      </c>
      <c r="O26" s="29">
        <v>43523</v>
      </c>
      <c r="P26" s="36" t="s">
        <v>181</v>
      </c>
      <c r="Q26" s="53">
        <v>43523</v>
      </c>
      <c r="R26" s="58" t="s">
        <v>95</v>
      </c>
      <c r="S26" s="54" t="s">
        <v>96</v>
      </c>
      <c r="T26" s="27"/>
    </row>
    <row r="27" ht="27" spans="1:20">
      <c r="A27" s="9">
        <f t="shared" si="1"/>
        <v>26</v>
      </c>
      <c r="B27" s="7" t="s">
        <v>78</v>
      </c>
      <c r="C27" s="7" t="s">
        <v>182</v>
      </c>
      <c r="D27" s="7" t="s">
        <v>47</v>
      </c>
      <c r="E27" s="7" t="s">
        <v>183</v>
      </c>
      <c r="F27" s="10">
        <v>43522</v>
      </c>
      <c r="G27" s="11">
        <v>43523</v>
      </c>
      <c r="H27" s="11" t="s">
        <v>80</v>
      </c>
      <c r="I27" s="11" t="s">
        <v>81</v>
      </c>
      <c r="J27" s="22" t="s">
        <v>88</v>
      </c>
      <c r="K27" s="10" t="s">
        <v>89</v>
      </c>
      <c r="L27" s="9" t="s">
        <v>47</v>
      </c>
      <c r="M27" s="24" t="s">
        <v>179</v>
      </c>
      <c r="N27" s="9" t="s">
        <v>180</v>
      </c>
      <c r="O27" s="29">
        <v>43523</v>
      </c>
      <c r="P27" s="36" t="s">
        <v>184</v>
      </c>
      <c r="Q27" s="53">
        <v>43523</v>
      </c>
      <c r="R27" s="58" t="s">
        <v>95</v>
      </c>
      <c r="S27" s="54" t="s">
        <v>96</v>
      </c>
      <c r="T27" s="27"/>
    </row>
    <row r="28" ht="27" hidden="1" spans="1:20">
      <c r="A28" s="9">
        <f t="shared" si="1"/>
        <v>27</v>
      </c>
      <c r="B28" s="7" t="s">
        <v>78</v>
      </c>
      <c r="C28" s="7" t="s">
        <v>21</v>
      </c>
      <c r="D28" s="7" t="s">
        <v>49</v>
      </c>
      <c r="E28" s="7" t="s">
        <v>185</v>
      </c>
      <c r="F28" s="10">
        <v>43522</v>
      </c>
      <c r="G28" s="11"/>
      <c r="H28" s="11"/>
      <c r="I28" s="11"/>
      <c r="J28" s="22" t="s">
        <v>105</v>
      </c>
      <c r="K28" s="10" t="str">
        <f t="shared" si="0"/>
        <v>问题提交</v>
      </c>
      <c r="L28" s="9" t="s">
        <v>186</v>
      </c>
      <c r="M28" s="31"/>
      <c r="N28" s="9" t="s">
        <v>187</v>
      </c>
      <c r="O28" s="38"/>
      <c r="P28" s="39"/>
      <c r="Q28" s="39"/>
      <c r="R28" s="20"/>
      <c r="S28" s="54"/>
      <c r="T28" s="27" t="s">
        <v>111</v>
      </c>
    </row>
    <row r="29" ht="94.5" spans="1:20">
      <c r="A29" s="9">
        <f t="shared" si="1"/>
        <v>28</v>
      </c>
      <c r="B29" s="7" t="s">
        <v>78</v>
      </c>
      <c r="C29" s="7" t="s">
        <v>21</v>
      </c>
      <c r="D29" s="7" t="s">
        <v>117</v>
      </c>
      <c r="E29" s="7" t="s">
        <v>188</v>
      </c>
      <c r="F29" s="10">
        <v>43522</v>
      </c>
      <c r="G29" s="13">
        <v>43538</v>
      </c>
      <c r="H29" s="11" t="s">
        <v>80</v>
      </c>
      <c r="I29" s="11" t="s">
        <v>81</v>
      </c>
      <c r="J29" s="22" t="s">
        <v>88</v>
      </c>
      <c r="K29" s="10" t="s">
        <v>189</v>
      </c>
      <c r="L29" s="40" t="s">
        <v>47</v>
      </c>
      <c r="M29" s="32" t="s">
        <v>190</v>
      </c>
      <c r="N29" s="41" t="s">
        <v>191</v>
      </c>
      <c r="O29" s="42">
        <v>43538</v>
      </c>
      <c r="P29" s="36" t="s">
        <v>192</v>
      </c>
      <c r="Q29" s="53"/>
      <c r="R29" s="59" t="s">
        <v>193</v>
      </c>
      <c r="S29" s="54" t="s">
        <v>194</v>
      </c>
      <c r="T29" s="60">
        <v>43549</v>
      </c>
    </row>
    <row r="30" ht="27" spans="1:20">
      <c r="A30" s="9">
        <f t="shared" si="1"/>
        <v>29</v>
      </c>
      <c r="B30" s="7" t="s">
        <v>78</v>
      </c>
      <c r="C30" s="7" t="s">
        <v>21</v>
      </c>
      <c r="D30" s="7" t="s">
        <v>47</v>
      </c>
      <c r="E30" s="7" t="s">
        <v>195</v>
      </c>
      <c r="F30" s="15">
        <v>43522</v>
      </c>
      <c r="G30" s="16">
        <v>43523</v>
      </c>
      <c r="H30" s="11" t="s">
        <v>80</v>
      </c>
      <c r="I30" s="11" t="s">
        <v>81</v>
      </c>
      <c r="J30" s="43" t="s">
        <v>88</v>
      </c>
      <c r="K30" s="10" t="s">
        <v>89</v>
      </c>
      <c r="L30" s="40" t="s">
        <v>47</v>
      </c>
      <c r="M30" s="32" t="s">
        <v>91</v>
      </c>
      <c r="N30" s="41" t="s">
        <v>196</v>
      </c>
      <c r="O30" s="29">
        <v>43523</v>
      </c>
      <c r="P30" s="36" t="s">
        <v>192</v>
      </c>
      <c r="Q30" s="53">
        <v>43523</v>
      </c>
      <c r="R30" s="61" t="s">
        <v>95</v>
      </c>
      <c r="S30" s="54" t="s">
        <v>96</v>
      </c>
      <c r="T30" s="27"/>
    </row>
    <row r="31" ht="27" spans="1:20">
      <c r="A31" s="9">
        <f t="shared" si="1"/>
        <v>30</v>
      </c>
      <c r="B31" s="7" t="s">
        <v>78</v>
      </c>
      <c r="C31" s="7" t="s">
        <v>21</v>
      </c>
      <c r="D31" s="7" t="s">
        <v>47</v>
      </c>
      <c r="E31" s="7" t="s">
        <v>197</v>
      </c>
      <c r="F31" s="15">
        <v>43522</v>
      </c>
      <c r="G31" s="16">
        <v>43523</v>
      </c>
      <c r="H31" s="11" t="s">
        <v>80</v>
      </c>
      <c r="I31" s="11" t="s">
        <v>81</v>
      </c>
      <c r="J31" s="43" t="s">
        <v>88</v>
      </c>
      <c r="K31" s="10" t="s">
        <v>89</v>
      </c>
      <c r="L31" s="40" t="s">
        <v>47</v>
      </c>
      <c r="M31" s="32" t="s">
        <v>91</v>
      </c>
      <c r="N31" s="41" t="s">
        <v>196</v>
      </c>
      <c r="O31" s="29">
        <v>43523</v>
      </c>
      <c r="P31" s="36" t="s">
        <v>192</v>
      </c>
      <c r="Q31" s="53">
        <v>43523</v>
      </c>
      <c r="R31" s="61" t="s">
        <v>95</v>
      </c>
      <c r="S31" s="54" t="s">
        <v>96</v>
      </c>
      <c r="T31" s="27"/>
    </row>
    <row r="32" ht="40.5" spans="1:20">
      <c r="A32" s="9">
        <f t="shared" si="1"/>
        <v>31</v>
      </c>
      <c r="B32" s="7" t="s">
        <v>78</v>
      </c>
      <c r="C32" s="7" t="s">
        <v>21</v>
      </c>
      <c r="D32" s="7" t="s">
        <v>47</v>
      </c>
      <c r="E32" s="7" t="s">
        <v>198</v>
      </c>
      <c r="F32" s="15">
        <v>43522</v>
      </c>
      <c r="G32" s="16">
        <v>43524</v>
      </c>
      <c r="H32" s="11" t="s">
        <v>80</v>
      </c>
      <c r="I32" s="11" t="s">
        <v>81</v>
      </c>
      <c r="J32" s="43" t="s">
        <v>88</v>
      </c>
      <c r="K32" s="10" t="s">
        <v>89</v>
      </c>
      <c r="L32" s="40" t="s">
        <v>47</v>
      </c>
      <c r="M32" s="32" t="s">
        <v>91</v>
      </c>
      <c r="N32" s="41" t="s">
        <v>199</v>
      </c>
      <c r="O32" s="29">
        <v>43524</v>
      </c>
      <c r="P32" s="36" t="s">
        <v>192</v>
      </c>
      <c r="Q32" s="53">
        <v>43524</v>
      </c>
      <c r="R32" s="61" t="s">
        <v>95</v>
      </c>
      <c r="S32" s="54" t="s">
        <v>96</v>
      </c>
      <c r="T32" s="27"/>
    </row>
    <row r="33" ht="40.5" hidden="1" spans="1:20">
      <c r="A33" s="9">
        <f t="shared" si="1"/>
        <v>32</v>
      </c>
      <c r="B33" s="7" t="s">
        <v>78</v>
      </c>
      <c r="C33" s="7" t="s">
        <v>21</v>
      </c>
      <c r="D33" s="7" t="s">
        <v>49</v>
      </c>
      <c r="E33" s="7" t="s">
        <v>200</v>
      </c>
      <c r="F33" s="15">
        <v>43522</v>
      </c>
      <c r="G33" s="17"/>
      <c r="H33" s="17"/>
      <c r="I33" s="17"/>
      <c r="J33" s="43" t="s">
        <v>105</v>
      </c>
      <c r="K33" s="10" t="str">
        <f t="shared" si="0"/>
        <v>问题提交</v>
      </c>
      <c r="L33" s="40" t="s">
        <v>201</v>
      </c>
      <c r="M33" s="32"/>
      <c r="N33" s="41" t="s">
        <v>202</v>
      </c>
      <c r="O33" s="26"/>
      <c r="P33" s="27"/>
      <c r="Q33" s="27"/>
      <c r="R33" s="20"/>
      <c r="S33" s="54"/>
      <c r="T33" s="27" t="s">
        <v>85</v>
      </c>
    </row>
    <row r="34" ht="54" hidden="1" spans="1:20">
      <c r="A34" s="9">
        <f t="shared" si="1"/>
        <v>33</v>
      </c>
      <c r="B34" s="7" t="s">
        <v>78</v>
      </c>
      <c r="C34" s="7" t="s">
        <v>21</v>
      </c>
      <c r="D34" s="7" t="s">
        <v>48</v>
      </c>
      <c r="E34" s="7" t="s">
        <v>203</v>
      </c>
      <c r="F34" s="15">
        <v>43522</v>
      </c>
      <c r="G34" s="17"/>
      <c r="H34" s="17"/>
      <c r="I34" s="17"/>
      <c r="J34" s="43" t="s">
        <v>82</v>
      </c>
      <c r="K34" s="10" t="str">
        <f t="shared" si="0"/>
        <v>问题提交</v>
      </c>
      <c r="L34" s="40" t="s">
        <v>204</v>
      </c>
      <c r="M34" s="32"/>
      <c r="N34" s="41" t="s">
        <v>205</v>
      </c>
      <c r="O34" s="15"/>
      <c r="P34" s="19"/>
      <c r="Q34" s="19"/>
      <c r="R34" s="20"/>
      <c r="S34" s="54"/>
      <c r="T34" s="27" t="s">
        <v>85</v>
      </c>
    </row>
    <row r="35" ht="67.5" spans="1:20">
      <c r="A35" s="9">
        <f t="shared" si="1"/>
        <v>34</v>
      </c>
      <c r="B35" s="7" t="s">
        <v>78</v>
      </c>
      <c r="C35" s="7" t="s">
        <v>21</v>
      </c>
      <c r="D35" s="7" t="s">
        <v>47</v>
      </c>
      <c r="E35" s="7" t="s">
        <v>206</v>
      </c>
      <c r="F35" s="15">
        <v>43522</v>
      </c>
      <c r="G35" s="13">
        <v>43538</v>
      </c>
      <c r="H35" s="11" t="s">
        <v>80</v>
      </c>
      <c r="I35" s="11" t="s">
        <v>81</v>
      </c>
      <c r="J35" s="43" t="s">
        <v>88</v>
      </c>
      <c r="K35" s="10" t="s">
        <v>189</v>
      </c>
      <c r="L35" s="40" t="s">
        <v>207</v>
      </c>
      <c r="M35" s="32" t="s">
        <v>208</v>
      </c>
      <c r="N35" s="41" t="s">
        <v>209</v>
      </c>
      <c r="O35" s="44">
        <v>43538</v>
      </c>
      <c r="P35" s="27" t="s">
        <v>192</v>
      </c>
      <c r="Q35" s="11">
        <v>43538</v>
      </c>
      <c r="R35" s="59" t="s">
        <v>210</v>
      </c>
      <c r="S35" s="54" t="s">
        <v>211</v>
      </c>
      <c r="T35" s="27"/>
    </row>
    <row r="36" ht="40.5" hidden="1" spans="1:20">
      <c r="A36" s="9">
        <f t="shared" si="1"/>
        <v>35</v>
      </c>
      <c r="B36" s="7" t="s">
        <v>78</v>
      </c>
      <c r="C36" s="7" t="s">
        <v>21</v>
      </c>
      <c r="D36" s="7" t="s">
        <v>49</v>
      </c>
      <c r="E36" s="7" t="s">
        <v>212</v>
      </c>
      <c r="F36" s="15">
        <v>43522</v>
      </c>
      <c r="G36" s="17"/>
      <c r="H36" s="17"/>
      <c r="I36" s="17"/>
      <c r="J36" s="43" t="s">
        <v>105</v>
      </c>
      <c r="K36" s="10" t="str">
        <f t="shared" si="0"/>
        <v>问题提交</v>
      </c>
      <c r="L36" s="40" t="s">
        <v>204</v>
      </c>
      <c r="M36" s="32"/>
      <c r="N36" s="41" t="s">
        <v>213</v>
      </c>
      <c r="O36" s="15"/>
      <c r="P36" s="19"/>
      <c r="Q36" s="19"/>
      <c r="R36" s="20"/>
      <c r="S36" s="54"/>
      <c r="T36" s="27" t="s">
        <v>85</v>
      </c>
    </row>
    <row r="37" ht="27" hidden="1" spans="1:20">
      <c r="A37" s="9">
        <f t="shared" si="1"/>
        <v>36</v>
      </c>
      <c r="B37" s="7" t="s">
        <v>78</v>
      </c>
      <c r="C37" s="7" t="s">
        <v>21</v>
      </c>
      <c r="D37" s="7" t="s">
        <v>48</v>
      </c>
      <c r="E37" s="7" t="s">
        <v>214</v>
      </c>
      <c r="F37" s="15">
        <v>43522</v>
      </c>
      <c r="G37" s="16">
        <v>43524</v>
      </c>
      <c r="H37" s="11" t="s">
        <v>80</v>
      </c>
      <c r="I37" s="11" t="s">
        <v>81</v>
      </c>
      <c r="J37" s="43" t="s">
        <v>82</v>
      </c>
      <c r="K37" s="10" t="s">
        <v>89</v>
      </c>
      <c r="L37" s="40" t="s">
        <v>215</v>
      </c>
      <c r="M37" s="32"/>
      <c r="N37" s="41" t="s">
        <v>216</v>
      </c>
      <c r="O37" s="29">
        <v>43524</v>
      </c>
      <c r="P37" s="36"/>
      <c r="Q37" s="53">
        <v>43524</v>
      </c>
      <c r="R37" s="58" t="s">
        <v>95</v>
      </c>
      <c r="S37" s="54" t="s">
        <v>96</v>
      </c>
      <c r="T37" s="27"/>
    </row>
    <row r="38" ht="27" spans="1:20">
      <c r="A38" s="9">
        <f t="shared" si="1"/>
        <v>37</v>
      </c>
      <c r="B38" s="7" t="s">
        <v>78</v>
      </c>
      <c r="C38" s="7" t="s">
        <v>21</v>
      </c>
      <c r="D38" s="7" t="s">
        <v>47</v>
      </c>
      <c r="E38" s="7" t="s">
        <v>217</v>
      </c>
      <c r="F38" s="15">
        <v>43522</v>
      </c>
      <c r="G38" s="16">
        <v>43524</v>
      </c>
      <c r="H38" s="11" t="s">
        <v>80</v>
      </c>
      <c r="I38" s="11" t="s">
        <v>81</v>
      </c>
      <c r="J38" s="43" t="s">
        <v>88</v>
      </c>
      <c r="K38" s="10" t="s">
        <v>89</v>
      </c>
      <c r="L38" s="40" t="s">
        <v>218</v>
      </c>
      <c r="M38" s="32" t="s">
        <v>219</v>
      </c>
      <c r="N38" s="41" t="s">
        <v>220</v>
      </c>
      <c r="O38" s="29">
        <v>43524</v>
      </c>
      <c r="P38" s="36" t="s">
        <v>221</v>
      </c>
      <c r="Q38" s="53">
        <v>43524</v>
      </c>
      <c r="R38" s="61" t="s">
        <v>95</v>
      </c>
      <c r="S38" s="54" t="s">
        <v>149</v>
      </c>
      <c r="T38" s="27"/>
    </row>
    <row r="39" ht="27" hidden="1" spans="1:20">
      <c r="A39" s="9">
        <f t="shared" si="1"/>
        <v>38</v>
      </c>
      <c r="B39" s="7" t="s">
        <v>136</v>
      </c>
      <c r="C39" s="7" t="s">
        <v>159</v>
      </c>
      <c r="D39" s="7" t="s">
        <v>48</v>
      </c>
      <c r="E39" s="7" t="s">
        <v>222</v>
      </c>
      <c r="F39" s="15">
        <v>43523</v>
      </c>
      <c r="G39" s="17"/>
      <c r="H39" s="17"/>
      <c r="I39" s="17"/>
      <c r="J39" s="43" t="s">
        <v>105</v>
      </c>
      <c r="K39" s="10" t="str">
        <f t="shared" si="0"/>
        <v>问题提交</v>
      </c>
      <c r="L39" s="40" t="s">
        <v>223</v>
      </c>
      <c r="M39" s="17"/>
      <c r="N39" s="41" t="s">
        <v>224</v>
      </c>
      <c r="O39" s="15"/>
      <c r="P39" s="19"/>
      <c r="Q39" s="19"/>
      <c r="R39" s="20"/>
      <c r="S39" s="54"/>
      <c r="T39" s="27" t="s">
        <v>111</v>
      </c>
    </row>
    <row r="40" ht="27" hidden="1" spans="1:20">
      <c r="A40" s="9">
        <f t="shared" si="1"/>
        <v>39</v>
      </c>
      <c r="B40" s="7" t="s">
        <v>78</v>
      </c>
      <c r="C40" s="7" t="s">
        <v>225</v>
      </c>
      <c r="D40" s="7" t="s">
        <v>48</v>
      </c>
      <c r="E40" s="7" t="s">
        <v>226</v>
      </c>
      <c r="F40" s="10">
        <v>43523</v>
      </c>
      <c r="G40" s="11"/>
      <c r="H40" s="11"/>
      <c r="I40" s="11"/>
      <c r="J40" s="22" t="s">
        <v>82</v>
      </c>
      <c r="K40" s="10" t="str">
        <f t="shared" si="0"/>
        <v>问题提交</v>
      </c>
      <c r="L40" s="9" t="s">
        <v>204</v>
      </c>
      <c r="M40" s="24"/>
      <c r="N40" s="9" t="s">
        <v>227</v>
      </c>
      <c r="O40" s="26"/>
      <c r="P40" s="27"/>
      <c r="Q40" s="27"/>
      <c r="R40" s="27"/>
      <c r="S40" s="54"/>
      <c r="T40" s="27" t="s">
        <v>111</v>
      </c>
    </row>
    <row r="41" ht="54" hidden="1" spans="1:20">
      <c r="A41" s="9">
        <f t="shared" si="1"/>
        <v>40</v>
      </c>
      <c r="B41" s="7" t="s">
        <v>78</v>
      </c>
      <c r="C41" s="7" t="s">
        <v>225</v>
      </c>
      <c r="D41" s="7" t="s">
        <v>48</v>
      </c>
      <c r="E41" s="7" t="s">
        <v>228</v>
      </c>
      <c r="F41" s="10">
        <v>43523</v>
      </c>
      <c r="G41" s="11"/>
      <c r="H41" s="11"/>
      <c r="I41" s="11"/>
      <c r="J41" s="22" t="s">
        <v>82</v>
      </c>
      <c r="K41" s="10" t="str">
        <f t="shared" si="0"/>
        <v>问题提交</v>
      </c>
      <c r="L41" s="9" t="s">
        <v>204</v>
      </c>
      <c r="M41" s="24"/>
      <c r="N41" s="9" t="s">
        <v>229</v>
      </c>
      <c r="O41" s="19"/>
      <c r="P41" s="19"/>
      <c r="Q41" s="19"/>
      <c r="R41" s="62"/>
      <c r="S41" s="54"/>
      <c r="T41" s="27" t="s">
        <v>111</v>
      </c>
    </row>
    <row r="42" ht="27" hidden="1" spans="1:20">
      <c r="A42" s="9">
        <f t="shared" si="1"/>
        <v>41</v>
      </c>
      <c r="B42" s="7" t="s">
        <v>78</v>
      </c>
      <c r="C42" s="7" t="s">
        <v>225</v>
      </c>
      <c r="D42" s="7" t="s">
        <v>48</v>
      </c>
      <c r="E42" s="7" t="s">
        <v>230</v>
      </c>
      <c r="F42" s="10">
        <v>43523</v>
      </c>
      <c r="G42" s="11"/>
      <c r="H42" s="11"/>
      <c r="I42" s="11"/>
      <c r="J42" s="22" t="s">
        <v>82</v>
      </c>
      <c r="K42" s="10" t="str">
        <f t="shared" si="0"/>
        <v>问题提交</v>
      </c>
      <c r="L42" s="9" t="s">
        <v>204</v>
      </c>
      <c r="M42" s="24"/>
      <c r="N42" s="9" t="s">
        <v>231</v>
      </c>
      <c r="O42" s="15"/>
      <c r="P42" s="19"/>
      <c r="Q42" s="19"/>
      <c r="R42" s="19"/>
      <c r="S42" s="54"/>
      <c r="T42" s="27" t="s">
        <v>85</v>
      </c>
    </row>
    <row r="43" ht="40.5" hidden="1" spans="1:20">
      <c r="A43" s="9">
        <f t="shared" si="1"/>
        <v>42</v>
      </c>
      <c r="B43" s="7" t="s">
        <v>78</v>
      </c>
      <c r="C43" s="7" t="s">
        <v>225</v>
      </c>
      <c r="D43" s="7" t="s">
        <v>48</v>
      </c>
      <c r="E43" s="7" t="s">
        <v>232</v>
      </c>
      <c r="F43" s="10">
        <v>43523</v>
      </c>
      <c r="G43" s="11"/>
      <c r="H43" s="11"/>
      <c r="I43" s="11"/>
      <c r="J43" s="22" t="s">
        <v>82</v>
      </c>
      <c r="K43" s="10" t="str">
        <f t="shared" si="0"/>
        <v>问题提交</v>
      </c>
      <c r="L43" s="9" t="s">
        <v>204</v>
      </c>
      <c r="M43" s="24"/>
      <c r="N43" s="9" t="s">
        <v>233</v>
      </c>
      <c r="O43" s="15"/>
      <c r="P43" s="19"/>
      <c r="Q43" s="19"/>
      <c r="R43" s="19"/>
      <c r="S43" s="54"/>
      <c r="T43" s="27" t="s">
        <v>111</v>
      </c>
    </row>
    <row r="44" ht="27" spans="1:20">
      <c r="A44" s="9">
        <f t="shared" si="1"/>
        <v>43</v>
      </c>
      <c r="B44" s="7" t="s">
        <v>78</v>
      </c>
      <c r="C44" s="7" t="s">
        <v>234</v>
      </c>
      <c r="D44" s="7" t="s">
        <v>47</v>
      </c>
      <c r="E44" s="7" t="s">
        <v>235</v>
      </c>
      <c r="F44" s="10">
        <v>43523</v>
      </c>
      <c r="G44" s="16">
        <v>43524</v>
      </c>
      <c r="H44" s="11" t="s">
        <v>80</v>
      </c>
      <c r="I44" s="11" t="s">
        <v>81</v>
      </c>
      <c r="J44" s="22" t="s">
        <v>88</v>
      </c>
      <c r="K44" s="10" t="s">
        <v>89</v>
      </c>
      <c r="L44" s="45" t="s">
        <v>236</v>
      </c>
      <c r="M44" s="24" t="s">
        <v>237</v>
      </c>
      <c r="N44" s="9" t="s">
        <v>238</v>
      </c>
      <c r="O44" s="28">
        <v>43524</v>
      </c>
      <c r="P44" s="19" t="s">
        <v>239</v>
      </c>
      <c r="Q44" s="53">
        <v>43524</v>
      </c>
      <c r="R44" s="58" t="s">
        <v>95</v>
      </c>
      <c r="S44" s="54" t="s">
        <v>240</v>
      </c>
      <c r="T44" s="27"/>
    </row>
    <row r="45" ht="27" spans="1:20">
      <c r="A45" s="9">
        <f t="shared" si="1"/>
        <v>44</v>
      </c>
      <c r="B45" s="7" t="s">
        <v>78</v>
      </c>
      <c r="C45" s="7" t="s">
        <v>234</v>
      </c>
      <c r="D45" s="7" t="s">
        <v>47</v>
      </c>
      <c r="E45" s="7" t="s">
        <v>241</v>
      </c>
      <c r="F45" s="10">
        <v>43523</v>
      </c>
      <c r="G45" s="16">
        <v>43524</v>
      </c>
      <c r="H45" s="11" t="s">
        <v>80</v>
      </c>
      <c r="I45" s="11" t="s">
        <v>81</v>
      </c>
      <c r="J45" s="22" t="s">
        <v>88</v>
      </c>
      <c r="K45" s="10" t="s">
        <v>89</v>
      </c>
      <c r="L45" s="9" t="s">
        <v>236</v>
      </c>
      <c r="M45" s="24" t="s">
        <v>242</v>
      </c>
      <c r="N45" s="9" t="s">
        <v>238</v>
      </c>
      <c r="O45" s="28" t="s">
        <v>93</v>
      </c>
      <c r="P45" s="19" t="s">
        <v>239</v>
      </c>
      <c r="Q45" s="53">
        <v>43524</v>
      </c>
      <c r="R45" s="58" t="s">
        <v>95</v>
      </c>
      <c r="S45" s="54" t="s">
        <v>240</v>
      </c>
      <c r="T45" s="27"/>
    </row>
    <row r="46" ht="54" spans="1:20">
      <c r="A46" s="9">
        <f t="shared" si="1"/>
        <v>45</v>
      </c>
      <c r="B46" s="7" t="s">
        <v>78</v>
      </c>
      <c r="C46" s="7" t="s">
        <v>234</v>
      </c>
      <c r="D46" s="7" t="s">
        <v>47</v>
      </c>
      <c r="E46" s="7" t="s">
        <v>243</v>
      </c>
      <c r="F46" s="10">
        <v>43523</v>
      </c>
      <c r="G46" s="16">
        <v>43524</v>
      </c>
      <c r="H46" s="11" t="s">
        <v>80</v>
      </c>
      <c r="I46" s="11" t="s">
        <v>81</v>
      </c>
      <c r="J46" s="22" t="s">
        <v>88</v>
      </c>
      <c r="K46" s="10" t="s">
        <v>89</v>
      </c>
      <c r="L46" s="9" t="s">
        <v>244</v>
      </c>
      <c r="M46" s="24" t="s">
        <v>162</v>
      </c>
      <c r="N46" s="9" t="s">
        <v>245</v>
      </c>
      <c r="O46" s="28" t="s">
        <v>93</v>
      </c>
      <c r="P46" s="19" t="s">
        <v>246</v>
      </c>
      <c r="Q46" s="53">
        <v>43524</v>
      </c>
      <c r="R46" s="58" t="s">
        <v>95</v>
      </c>
      <c r="S46" s="54" t="s">
        <v>96</v>
      </c>
      <c r="T46" s="27"/>
    </row>
    <row r="47" ht="33.75" hidden="1" customHeight="1" spans="1:20">
      <c r="A47" s="9">
        <f t="shared" si="1"/>
        <v>46</v>
      </c>
      <c r="B47" s="7" t="s">
        <v>247</v>
      </c>
      <c r="C47" s="7" t="s">
        <v>225</v>
      </c>
      <c r="D47" s="7" t="s">
        <v>48</v>
      </c>
      <c r="E47" s="7" t="s">
        <v>248</v>
      </c>
      <c r="F47" s="10">
        <v>43524</v>
      </c>
      <c r="G47" s="11"/>
      <c r="H47" s="11"/>
      <c r="I47" s="11"/>
      <c r="J47" s="22" t="s">
        <v>82</v>
      </c>
      <c r="K47" s="10" t="str">
        <f t="shared" si="0"/>
        <v>问题提交</v>
      </c>
      <c r="L47" s="9" t="s">
        <v>204</v>
      </c>
      <c r="M47" s="24"/>
      <c r="N47" s="9"/>
      <c r="O47" s="15"/>
      <c r="P47" s="19"/>
      <c r="Q47" s="19"/>
      <c r="R47" s="19"/>
      <c r="S47" s="54"/>
      <c r="T47" s="27" t="s">
        <v>85</v>
      </c>
    </row>
    <row r="48" ht="27" spans="1:20">
      <c r="A48" s="9">
        <f t="shared" si="1"/>
        <v>47</v>
      </c>
      <c r="B48" s="7" t="s">
        <v>247</v>
      </c>
      <c r="C48" s="7" t="s">
        <v>234</v>
      </c>
      <c r="D48" s="7" t="s">
        <v>47</v>
      </c>
      <c r="E48" s="7" t="s">
        <v>249</v>
      </c>
      <c r="F48" s="10">
        <v>43524</v>
      </c>
      <c r="G48" s="11">
        <v>43525</v>
      </c>
      <c r="H48" s="11" t="s">
        <v>80</v>
      </c>
      <c r="I48" s="11" t="s">
        <v>81</v>
      </c>
      <c r="J48" s="22" t="s">
        <v>88</v>
      </c>
      <c r="K48" s="10" t="s">
        <v>89</v>
      </c>
      <c r="L48" s="9" t="s">
        <v>250</v>
      </c>
      <c r="M48" s="24" t="s">
        <v>251</v>
      </c>
      <c r="N48" s="9"/>
      <c r="O48" s="28" t="s">
        <v>252</v>
      </c>
      <c r="P48" s="19" t="s">
        <v>246</v>
      </c>
      <c r="Q48" s="53">
        <v>43525</v>
      </c>
      <c r="R48" s="58" t="s">
        <v>95</v>
      </c>
      <c r="S48" s="54" t="s">
        <v>96</v>
      </c>
      <c r="T48" s="27"/>
    </row>
    <row r="49" ht="27" spans="1:20">
      <c r="A49" s="9">
        <f t="shared" si="1"/>
        <v>48</v>
      </c>
      <c r="B49" s="7" t="s">
        <v>247</v>
      </c>
      <c r="C49" s="7" t="s">
        <v>234</v>
      </c>
      <c r="D49" s="7" t="s">
        <v>47</v>
      </c>
      <c r="E49" s="7" t="s">
        <v>253</v>
      </c>
      <c r="F49" s="10">
        <v>43524</v>
      </c>
      <c r="G49" s="13">
        <v>43538</v>
      </c>
      <c r="H49" s="11" t="s">
        <v>80</v>
      </c>
      <c r="I49" s="11" t="s">
        <v>81</v>
      </c>
      <c r="J49" s="22" t="s">
        <v>88</v>
      </c>
      <c r="K49" s="10" t="s">
        <v>189</v>
      </c>
      <c r="L49" s="9" t="s">
        <v>254</v>
      </c>
      <c r="M49" s="24" t="s">
        <v>255</v>
      </c>
      <c r="N49" s="9" t="s">
        <v>256</v>
      </c>
      <c r="O49" s="46">
        <v>43538</v>
      </c>
      <c r="P49" s="19" t="s">
        <v>257</v>
      </c>
      <c r="Q49" s="11">
        <v>43538</v>
      </c>
      <c r="R49" s="63" t="s">
        <v>95</v>
      </c>
      <c r="S49" s="56" t="s">
        <v>96</v>
      </c>
      <c r="T49" s="27"/>
    </row>
    <row r="50" ht="40.5" spans="1:20">
      <c r="A50" s="9">
        <f t="shared" si="1"/>
        <v>49</v>
      </c>
      <c r="B50" s="7" t="s">
        <v>247</v>
      </c>
      <c r="C50" s="7" t="s">
        <v>234</v>
      </c>
      <c r="D50" s="7" t="s">
        <v>47</v>
      </c>
      <c r="E50" s="7" t="s">
        <v>258</v>
      </c>
      <c r="F50" s="10">
        <v>43524</v>
      </c>
      <c r="G50" s="11">
        <v>43525</v>
      </c>
      <c r="H50" s="11" t="s">
        <v>80</v>
      </c>
      <c r="I50" s="11" t="s">
        <v>81</v>
      </c>
      <c r="J50" s="22" t="s">
        <v>88</v>
      </c>
      <c r="K50" s="10" t="s">
        <v>89</v>
      </c>
      <c r="L50" s="9"/>
      <c r="M50" s="24" t="s">
        <v>259</v>
      </c>
      <c r="N50" s="9" t="s">
        <v>260</v>
      </c>
      <c r="O50" s="28" t="s">
        <v>252</v>
      </c>
      <c r="P50" s="19" t="s">
        <v>239</v>
      </c>
      <c r="Q50" s="53">
        <v>43525</v>
      </c>
      <c r="R50" s="58" t="s">
        <v>95</v>
      </c>
      <c r="S50" s="54" t="s">
        <v>96</v>
      </c>
      <c r="T50" s="27"/>
    </row>
    <row r="51" ht="27" hidden="1" spans="1:20">
      <c r="A51" s="9">
        <f t="shared" si="1"/>
        <v>50</v>
      </c>
      <c r="B51" s="7" t="s">
        <v>247</v>
      </c>
      <c r="C51" s="7" t="s">
        <v>261</v>
      </c>
      <c r="D51" s="7" t="s">
        <v>49</v>
      </c>
      <c r="E51" s="7" t="s">
        <v>262</v>
      </c>
      <c r="F51" s="10">
        <v>43524</v>
      </c>
      <c r="G51" s="11"/>
      <c r="H51" s="11"/>
      <c r="I51" s="11"/>
      <c r="J51" s="22" t="s">
        <v>105</v>
      </c>
      <c r="K51" s="10" t="str">
        <f t="shared" si="0"/>
        <v>问题提交</v>
      </c>
      <c r="L51" s="9" t="s">
        <v>204</v>
      </c>
      <c r="M51" s="24"/>
      <c r="N51" s="9"/>
      <c r="O51" s="15"/>
      <c r="P51" s="19"/>
      <c r="Q51" s="19"/>
      <c r="R51" s="19"/>
      <c r="S51" s="54"/>
      <c r="T51" s="27" t="s">
        <v>85</v>
      </c>
    </row>
    <row r="52" ht="33" hidden="1" customHeight="1" spans="1:20">
      <c r="A52" s="9">
        <f t="shared" si="1"/>
        <v>51</v>
      </c>
      <c r="B52" s="7" t="s">
        <v>78</v>
      </c>
      <c r="C52" s="7" t="s">
        <v>261</v>
      </c>
      <c r="D52" s="7" t="s">
        <v>48</v>
      </c>
      <c r="E52" s="7" t="s">
        <v>263</v>
      </c>
      <c r="F52" s="10">
        <v>43524</v>
      </c>
      <c r="G52" s="11"/>
      <c r="H52" s="11"/>
      <c r="I52" s="11"/>
      <c r="J52" s="22" t="s">
        <v>82</v>
      </c>
      <c r="K52" s="10" t="str">
        <f t="shared" si="0"/>
        <v>问题提交</v>
      </c>
      <c r="L52" s="9" t="s">
        <v>204</v>
      </c>
      <c r="M52" s="24"/>
      <c r="N52" s="9"/>
      <c r="O52" s="26"/>
      <c r="P52" s="27"/>
      <c r="Q52" s="27"/>
      <c r="R52" s="27"/>
      <c r="S52" s="54"/>
      <c r="T52" s="27" t="s">
        <v>85</v>
      </c>
    </row>
    <row r="53" ht="54" spans="1:20">
      <c r="A53" s="9">
        <f t="shared" si="1"/>
        <v>52</v>
      </c>
      <c r="B53" s="7" t="s">
        <v>78</v>
      </c>
      <c r="C53" s="7" t="s">
        <v>261</v>
      </c>
      <c r="D53" s="7" t="s">
        <v>47</v>
      </c>
      <c r="E53" s="7" t="s">
        <v>264</v>
      </c>
      <c r="F53" s="10">
        <v>43524</v>
      </c>
      <c r="G53" s="11">
        <v>43528</v>
      </c>
      <c r="H53" s="11" t="s">
        <v>80</v>
      </c>
      <c r="I53" s="11" t="s">
        <v>81</v>
      </c>
      <c r="J53" s="22" t="s">
        <v>88</v>
      </c>
      <c r="K53" s="10" t="s">
        <v>89</v>
      </c>
      <c r="L53" s="9" t="s">
        <v>265</v>
      </c>
      <c r="M53" s="24" t="s">
        <v>266</v>
      </c>
      <c r="N53" s="9"/>
      <c r="O53" s="28" t="s">
        <v>267</v>
      </c>
      <c r="P53" s="19" t="s">
        <v>268</v>
      </c>
      <c r="Q53" s="53">
        <v>43528</v>
      </c>
      <c r="R53" s="58" t="s">
        <v>95</v>
      </c>
      <c r="S53" s="54" t="s">
        <v>96</v>
      </c>
      <c r="T53" s="27"/>
    </row>
    <row r="54" ht="40.5" hidden="1" spans="1:20">
      <c r="A54" s="9">
        <f t="shared" si="1"/>
        <v>53</v>
      </c>
      <c r="B54" s="7" t="s">
        <v>78</v>
      </c>
      <c r="C54" s="7" t="s">
        <v>269</v>
      </c>
      <c r="D54" s="7" t="s">
        <v>48</v>
      </c>
      <c r="E54" s="7" t="s">
        <v>270</v>
      </c>
      <c r="F54" s="10">
        <v>43524</v>
      </c>
      <c r="G54" s="11"/>
      <c r="H54" s="11"/>
      <c r="I54" s="11"/>
      <c r="J54" s="22" t="s">
        <v>82</v>
      </c>
      <c r="K54" s="10" t="str">
        <f t="shared" si="0"/>
        <v>问题提交</v>
      </c>
      <c r="L54" s="9" t="s">
        <v>204</v>
      </c>
      <c r="M54" s="24"/>
      <c r="N54" s="9"/>
      <c r="O54" s="15"/>
      <c r="P54" s="19"/>
      <c r="Q54" s="19"/>
      <c r="R54" s="19"/>
      <c r="S54" s="54"/>
      <c r="T54" s="27" t="s">
        <v>111</v>
      </c>
    </row>
    <row r="55" ht="40.5" spans="1:20">
      <c r="A55" s="9">
        <f t="shared" si="1"/>
        <v>54</v>
      </c>
      <c r="B55" s="7" t="s">
        <v>247</v>
      </c>
      <c r="C55" s="7" t="s">
        <v>261</v>
      </c>
      <c r="D55" s="7" t="s">
        <v>47</v>
      </c>
      <c r="E55" s="7" t="s">
        <v>271</v>
      </c>
      <c r="F55" s="10">
        <v>43524</v>
      </c>
      <c r="G55" s="11">
        <v>43525</v>
      </c>
      <c r="H55" s="11" t="s">
        <v>80</v>
      </c>
      <c r="I55" s="11" t="s">
        <v>81</v>
      </c>
      <c r="J55" s="22" t="s">
        <v>88</v>
      </c>
      <c r="K55" s="10" t="s">
        <v>89</v>
      </c>
      <c r="L55" s="9" t="s">
        <v>272</v>
      </c>
      <c r="M55" s="24" t="s">
        <v>273</v>
      </c>
      <c r="N55" s="9"/>
      <c r="O55" s="28" t="s">
        <v>274</v>
      </c>
      <c r="P55" s="19" t="s">
        <v>275</v>
      </c>
      <c r="Q55" s="53">
        <v>43525</v>
      </c>
      <c r="R55" s="58" t="s">
        <v>95</v>
      </c>
      <c r="S55" s="54" t="s">
        <v>96</v>
      </c>
      <c r="T55" s="27"/>
    </row>
    <row r="56" ht="27" hidden="1" spans="1:20">
      <c r="A56" s="9">
        <f t="shared" si="1"/>
        <v>55</v>
      </c>
      <c r="B56" s="7" t="s">
        <v>247</v>
      </c>
      <c r="C56" s="7" t="s">
        <v>261</v>
      </c>
      <c r="D56" s="7" t="s">
        <v>49</v>
      </c>
      <c r="E56" s="7" t="s">
        <v>276</v>
      </c>
      <c r="F56" s="10">
        <v>43524</v>
      </c>
      <c r="G56" s="11"/>
      <c r="H56" s="11"/>
      <c r="I56" s="11"/>
      <c r="J56" s="22" t="s">
        <v>82</v>
      </c>
      <c r="K56" s="10" t="str">
        <f t="shared" si="0"/>
        <v>问题提交</v>
      </c>
      <c r="L56" s="9"/>
      <c r="M56" s="31"/>
      <c r="N56" s="9"/>
      <c r="O56" s="15"/>
      <c r="P56" s="19"/>
      <c r="Q56" s="19"/>
      <c r="R56" s="19"/>
      <c r="S56" s="54"/>
      <c r="T56" s="27" t="s">
        <v>85</v>
      </c>
    </row>
    <row r="57" ht="27" hidden="1" spans="1:20">
      <c r="A57" s="9">
        <f t="shared" si="1"/>
        <v>56</v>
      </c>
      <c r="B57" s="7" t="s">
        <v>277</v>
      </c>
      <c r="C57" s="18" t="s">
        <v>278</v>
      </c>
      <c r="D57" s="18" t="s">
        <v>48</v>
      </c>
      <c r="E57" s="18" t="s">
        <v>279</v>
      </c>
      <c r="F57" s="19">
        <v>43524</v>
      </c>
      <c r="G57" s="14"/>
      <c r="H57" s="14"/>
      <c r="I57" s="14"/>
      <c r="J57" s="47" t="s">
        <v>82</v>
      </c>
      <c r="K57" s="19" t="str">
        <f t="shared" si="0"/>
        <v>问题提交</v>
      </c>
      <c r="L57" s="9" t="s">
        <v>204</v>
      </c>
      <c r="M57" s="33"/>
      <c r="N57" s="48"/>
      <c r="O57" s="49"/>
      <c r="P57" s="48"/>
      <c r="Q57" s="48"/>
      <c r="R57" s="48"/>
      <c r="S57" s="52"/>
      <c r="T57" s="27" t="s">
        <v>111</v>
      </c>
    </row>
    <row r="58" ht="40.5" spans="1:20">
      <c r="A58" s="9">
        <f t="shared" si="1"/>
        <v>57</v>
      </c>
      <c r="B58" s="7" t="s">
        <v>247</v>
      </c>
      <c r="C58" s="18" t="s">
        <v>278</v>
      </c>
      <c r="D58" s="18" t="s">
        <v>47</v>
      </c>
      <c r="E58" s="7" t="s">
        <v>280</v>
      </c>
      <c r="F58" s="19">
        <v>43524</v>
      </c>
      <c r="G58" s="14">
        <v>43525</v>
      </c>
      <c r="H58" s="11" t="s">
        <v>80</v>
      </c>
      <c r="I58" s="11" t="s">
        <v>81</v>
      </c>
      <c r="J58" s="47" t="s">
        <v>88</v>
      </c>
      <c r="K58" s="10" t="s">
        <v>89</v>
      </c>
      <c r="L58" s="50" t="s">
        <v>281</v>
      </c>
      <c r="M58" s="34" t="s">
        <v>91</v>
      </c>
      <c r="N58" s="20"/>
      <c r="O58" s="28" t="s">
        <v>274</v>
      </c>
      <c r="P58" s="19" t="s">
        <v>282</v>
      </c>
      <c r="Q58" s="53">
        <v>43525</v>
      </c>
      <c r="R58" s="58" t="s">
        <v>95</v>
      </c>
      <c r="S58" s="52" t="s">
        <v>165</v>
      </c>
      <c r="T58" s="27"/>
    </row>
    <row r="59" ht="54" spans="1:20">
      <c r="A59" s="9">
        <f t="shared" si="1"/>
        <v>58</v>
      </c>
      <c r="B59" s="7" t="s">
        <v>247</v>
      </c>
      <c r="C59" s="7" t="s">
        <v>278</v>
      </c>
      <c r="D59" s="20" t="s">
        <v>47</v>
      </c>
      <c r="E59" s="7" t="s">
        <v>283</v>
      </c>
      <c r="F59" s="19">
        <v>43524</v>
      </c>
      <c r="G59" s="14">
        <v>43525</v>
      </c>
      <c r="H59" s="11" t="s">
        <v>80</v>
      </c>
      <c r="I59" s="11" t="s">
        <v>81</v>
      </c>
      <c r="J59" s="47" t="s">
        <v>88</v>
      </c>
      <c r="K59" s="10" t="s">
        <v>89</v>
      </c>
      <c r="L59" s="20" t="s">
        <v>284</v>
      </c>
      <c r="M59" s="24" t="s">
        <v>266</v>
      </c>
      <c r="N59" s="20"/>
      <c r="O59" s="28" t="s">
        <v>274</v>
      </c>
      <c r="P59" s="19" t="s">
        <v>285</v>
      </c>
      <c r="Q59" s="53">
        <v>43525</v>
      </c>
      <c r="R59" s="58" t="s">
        <v>95</v>
      </c>
      <c r="S59" s="52" t="s">
        <v>149</v>
      </c>
      <c r="T59" s="27"/>
    </row>
    <row r="60" ht="51.75" customHeight="1" spans="1:20">
      <c r="A60" s="9">
        <f t="shared" si="1"/>
        <v>59</v>
      </c>
      <c r="B60" s="7" t="s">
        <v>155</v>
      </c>
      <c r="C60" s="7" t="s">
        <v>234</v>
      </c>
      <c r="D60" s="7" t="s">
        <v>47</v>
      </c>
      <c r="E60" s="7" t="s">
        <v>286</v>
      </c>
      <c r="F60" s="10">
        <v>43524</v>
      </c>
      <c r="G60" s="11">
        <v>43525</v>
      </c>
      <c r="H60" s="11" t="s">
        <v>80</v>
      </c>
      <c r="I60" s="11" t="s">
        <v>81</v>
      </c>
      <c r="J60" s="22" t="s">
        <v>88</v>
      </c>
      <c r="K60" s="10" t="s">
        <v>89</v>
      </c>
      <c r="L60" s="9" t="s">
        <v>47</v>
      </c>
      <c r="M60" s="24" t="s">
        <v>287</v>
      </c>
      <c r="N60" s="9" t="s">
        <v>288</v>
      </c>
      <c r="O60" s="28" t="s">
        <v>274</v>
      </c>
      <c r="P60" s="19" t="s">
        <v>239</v>
      </c>
      <c r="Q60" s="53">
        <v>43525</v>
      </c>
      <c r="R60" s="58" t="s">
        <v>95</v>
      </c>
      <c r="S60" s="52" t="s">
        <v>165</v>
      </c>
      <c r="T60" s="27"/>
    </row>
    <row r="61" ht="108" spans="1:20">
      <c r="A61" s="9">
        <f t="shared" si="1"/>
        <v>60</v>
      </c>
      <c r="B61" s="7" t="s">
        <v>155</v>
      </c>
      <c r="C61" s="7" t="s">
        <v>289</v>
      </c>
      <c r="D61" s="7" t="s">
        <v>47</v>
      </c>
      <c r="E61" s="7" t="s">
        <v>290</v>
      </c>
      <c r="F61" s="10">
        <v>43524</v>
      </c>
      <c r="G61" s="11" t="s">
        <v>291</v>
      </c>
      <c r="H61" s="11" t="s">
        <v>80</v>
      </c>
      <c r="I61" s="11" t="s">
        <v>81</v>
      </c>
      <c r="J61" s="22" t="s">
        <v>88</v>
      </c>
      <c r="K61" s="10" t="s">
        <v>189</v>
      </c>
      <c r="L61" s="9" t="s">
        <v>292</v>
      </c>
      <c r="M61" s="24" t="s">
        <v>293</v>
      </c>
      <c r="N61" s="9" t="s">
        <v>294</v>
      </c>
      <c r="O61" s="46">
        <v>43538</v>
      </c>
      <c r="P61" s="19" t="s">
        <v>295</v>
      </c>
      <c r="Q61" s="11">
        <v>43538</v>
      </c>
      <c r="R61" s="63" t="s">
        <v>95</v>
      </c>
      <c r="S61" s="56" t="s">
        <v>96</v>
      </c>
      <c r="T61" s="27"/>
    </row>
    <row r="62" ht="40.5" spans="1:20">
      <c r="A62" s="9">
        <f t="shared" si="1"/>
        <v>61</v>
      </c>
      <c r="B62" s="7" t="s">
        <v>155</v>
      </c>
      <c r="C62" s="7" t="s">
        <v>289</v>
      </c>
      <c r="D62" s="7" t="s">
        <v>47</v>
      </c>
      <c r="E62" s="7" t="s">
        <v>296</v>
      </c>
      <c r="F62" s="10">
        <v>43524</v>
      </c>
      <c r="G62" s="11">
        <v>43525</v>
      </c>
      <c r="H62" s="11" t="s">
        <v>80</v>
      </c>
      <c r="I62" s="11" t="s">
        <v>81</v>
      </c>
      <c r="J62" s="22" t="s">
        <v>88</v>
      </c>
      <c r="K62" s="10" t="s">
        <v>89</v>
      </c>
      <c r="L62" s="9" t="s">
        <v>47</v>
      </c>
      <c r="M62" s="24" t="s">
        <v>91</v>
      </c>
      <c r="N62" s="9" t="s">
        <v>297</v>
      </c>
      <c r="O62" s="28" t="s">
        <v>252</v>
      </c>
      <c r="P62" s="19" t="s">
        <v>298</v>
      </c>
      <c r="Q62" s="53">
        <v>43525</v>
      </c>
      <c r="R62" s="58" t="s">
        <v>95</v>
      </c>
      <c r="S62" s="52" t="s">
        <v>165</v>
      </c>
      <c r="T62" s="27"/>
    </row>
    <row r="63" ht="67.5" spans="1:20">
      <c r="A63" s="9">
        <f t="shared" si="1"/>
        <v>62</v>
      </c>
      <c r="B63" s="7" t="s">
        <v>155</v>
      </c>
      <c r="C63" s="7" t="s">
        <v>289</v>
      </c>
      <c r="D63" s="7" t="s">
        <v>47</v>
      </c>
      <c r="E63" s="7" t="s">
        <v>299</v>
      </c>
      <c r="F63" s="10">
        <v>43524</v>
      </c>
      <c r="G63" s="11" t="s">
        <v>291</v>
      </c>
      <c r="H63" s="11" t="s">
        <v>80</v>
      </c>
      <c r="I63" s="11" t="s">
        <v>81</v>
      </c>
      <c r="J63" s="22" t="s">
        <v>88</v>
      </c>
      <c r="K63" s="10" t="s">
        <v>189</v>
      </c>
      <c r="L63" s="9" t="s">
        <v>300</v>
      </c>
      <c r="M63" s="24" t="s">
        <v>301</v>
      </c>
      <c r="N63" s="9" t="s">
        <v>302</v>
      </c>
      <c r="O63" s="46">
        <v>43538</v>
      </c>
      <c r="P63" s="19" t="s">
        <v>303</v>
      </c>
      <c r="Q63" s="11">
        <v>43538</v>
      </c>
      <c r="R63" s="64" t="s">
        <v>210</v>
      </c>
      <c r="S63" s="52" t="s">
        <v>304</v>
      </c>
      <c r="T63" s="27"/>
    </row>
    <row r="64" ht="94.5" spans="1:20">
      <c r="A64" s="9">
        <f t="shared" si="1"/>
        <v>63</v>
      </c>
      <c r="B64" s="7" t="s">
        <v>155</v>
      </c>
      <c r="C64" s="21" t="s">
        <v>289</v>
      </c>
      <c r="D64" s="7" t="s">
        <v>47</v>
      </c>
      <c r="E64" s="7" t="s">
        <v>305</v>
      </c>
      <c r="F64" s="10">
        <v>43524</v>
      </c>
      <c r="G64" s="11" t="s">
        <v>252</v>
      </c>
      <c r="H64" s="11" t="s">
        <v>80</v>
      </c>
      <c r="I64" s="11" t="s">
        <v>81</v>
      </c>
      <c r="J64" s="22" t="s">
        <v>88</v>
      </c>
      <c r="K64" s="10" t="str">
        <f t="shared" ref="K64:K65" si="2">IF(F64="","",IF(F64&lt;&gt;"","问题提交",IF(O64="","问题处理中","问题关闭")))</f>
        <v>问题提交</v>
      </c>
      <c r="L64" s="9" t="s">
        <v>306</v>
      </c>
      <c r="M64" s="24" t="s">
        <v>307</v>
      </c>
      <c r="N64" s="9" t="s">
        <v>308</v>
      </c>
      <c r="O64" s="28" t="s">
        <v>274</v>
      </c>
      <c r="P64" s="19" t="s">
        <v>303</v>
      </c>
      <c r="Q64" s="53">
        <v>43525</v>
      </c>
      <c r="R64" s="58" t="s">
        <v>95</v>
      </c>
      <c r="S64" s="52" t="s">
        <v>309</v>
      </c>
      <c r="T64" s="27"/>
    </row>
    <row r="65" ht="32.25" hidden="1" customHeight="1" spans="1:20">
      <c r="A65" s="9">
        <f t="shared" si="1"/>
        <v>64</v>
      </c>
      <c r="B65" s="65" t="s">
        <v>155</v>
      </c>
      <c r="C65" s="65" t="s">
        <v>310</v>
      </c>
      <c r="D65" s="65" t="s">
        <v>48</v>
      </c>
      <c r="E65" s="65" t="s">
        <v>311</v>
      </c>
      <c r="F65" s="10">
        <v>43531</v>
      </c>
      <c r="G65" s="11"/>
      <c r="H65" s="11"/>
      <c r="I65" s="11"/>
      <c r="J65" s="74" t="s">
        <v>82</v>
      </c>
      <c r="K65" s="10" t="str">
        <f t="shared" si="2"/>
        <v>问题提交</v>
      </c>
      <c r="L65" s="11"/>
      <c r="M65" s="11"/>
      <c r="N65" s="11"/>
      <c r="O65" s="11"/>
      <c r="P65" s="11"/>
      <c r="Q65" s="11"/>
      <c r="R65" s="11"/>
      <c r="S65" s="52"/>
      <c r="T65" s="27" t="s">
        <v>85</v>
      </c>
    </row>
    <row r="66" ht="40.5" spans="1:20">
      <c r="A66" s="9">
        <f t="shared" si="1"/>
        <v>65</v>
      </c>
      <c r="B66" s="7" t="s">
        <v>155</v>
      </c>
      <c r="C66" s="7" t="s">
        <v>312</v>
      </c>
      <c r="D66" s="7" t="s">
        <v>47</v>
      </c>
      <c r="E66" s="7" t="s">
        <v>313</v>
      </c>
      <c r="F66" s="10">
        <v>43524</v>
      </c>
      <c r="G66" s="11">
        <v>43528</v>
      </c>
      <c r="H66" s="11" t="s">
        <v>80</v>
      </c>
      <c r="I66" s="11" t="s">
        <v>81</v>
      </c>
      <c r="J66" s="22" t="s">
        <v>88</v>
      </c>
      <c r="K66" s="10" t="s">
        <v>89</v>
      </c>
      <c r="L66" s="9" t="s">
        <v>47</v>
      </c>
      <c r="M66" s="24" t="s">
        <v>314</v>
      </c>
      <c r="N66" s="9"/>
      <c r="O66" s="28" t="s">
        <v>315</v>
      </c>
      <c r="P66" s="19" t="s">
        <v>316</v>
      </c>
      <c r="Q66" s="53">
        <v>43528</v>
      </c>
      <c r="R66" s="58" t="s">
        <v>95</v>
      </c>
      <c r="S66" s="92"/>
      <c r="T66" s="27"/>
    </row>
    <row r="67" ht="48" hidden="1" customHeight="1" spans="1:20">
      <c r="A67" s="9">
        <f t="shared" ref="A67:A130" si="3">ROW()-1</f>
        <v>66</v>
      </c>
      <c r="B67" s="7" t="s">
        <v>317</v>
      </c>
      <c r="C67" s="7" t="s">
        <v>318</v>
      </c>
      <c r="D67" s="7" t="s">
        <v>48</v>
      </c>
      <c r="E67" s="7" t="s">
        <v>319</v>
      </c>
      <c r="F67" s="10">
        <v>43525</v>
      </c>
      <c r="G67" s="11"/>
      <c r="H67" s="11"/>
      <c r="I67" s="11"/>
      <c r="J67" s="22" t="s">
        <v>82</v>
      </c>
      <c r="K67" s="10" t="str">
        <f t="shared" ref="K67:K100" si="4">IF(F67="","",IF(F67&lt;&gt;"","问题提交",IF(N67="","问题处理中","问题关闭")))</f>
        <v>问题提交</v>
      </c>
      <c r="L67" s="9" t="s">
        <v>98</v>
      </c>
      <c r="M67" s="24"/>
      <c r="N67" s="15"/>
      <c r="O67" s="49"/>
      <c r="P67" s="48"/>
      <c r="Q67" s="48"/>
      <c r="R67" s="48"/>
      <c r="S67" s="52"/>
      <c r="T67" s="27" t="s">
        <v>85</v>
      </c>
    </row>
    <row r="68" ht="54" hidden="1" spans="1:20">
      <c r="A68" s="9">
        <f t="shared" si="3"/>
        <v>67</v>
      </c>
      <c r="B68" s="7" t="s">
        <v>317</v>
      </c>
      <c r="C68" s="7" t="s">
        <v>320</v>
      </c>
      <c r="D68" s="7" t="s">
        <v>117</v>
      </c>
      <c r="E68" s="7" t="s">
        <v>321</v>
      </c>
      <c r="F68" s="10">
        <v>43525</v>
      </c>
      <c r="G68" s="11" t="s">
        <v>322</v>
      </c>
      <c r="H68" s="11"/>
      <c r="I68" s="11"/>
      <c r="J68" s="22" t="s">
        <v>88</v>
      </c>
      <c r="K68" s="10" t="str">
        <f t="shared" si="4"/>
        <v>问题提交</v>
      </c>
      <c r="L68" s="9" t="s">
        <v>323</v>
      </c>
      <c r="M68" s="24" t="s">
        <v>91</v>
      </c>
      <c r="N68" s="15" t="s">
        <v>324</v>
      </c>
      <c r="O68" s="42">
        <v>43538</v>
      </c>
      <c r="P68" s="75" t="s">
        <v>325</v>
      </c>
      <c r="Q68" s="66">
        <v>43538</v>
      </c>
      <c r="R68" s="59" t="s">
        <v>210</v>
      </c>
      <c r="S68" s="52"/>
      <c r="T68" s="27"/>
    </row>
    <row r="69" ht="54" spans="1:20">
      <c r="A69" s="9">
        <f t="shared" si="3"/>
        <v>68</v>
      </c>
      <c r="B69" s="7" t="s">
        <v>317</v>
      </c>
      <c r="C69" s="7" t="s">
        <v>326</v>
      </c>
      <c r="D69" s="7" t="s">
        <v>47</v>
      </c>
      <c r="E69" s="7" t="s">
        <v>327</v>
      </c>
      <c r="F69" s="10">
        <v>43525</v>
      </c>
      <c r="G69" s="11" t="s">
        <v>322</v>
      </c>
      <c r="H69" s="11" t="s">
        <v>80</v>
      </c>
      <c r="I69" s="11" t="s">
        <v>81</v>
      </c>
      <c r="J69" s="22" t="s">
        <v>88</v>
      </c>
      <c r="K69" s="10" t="str">
        <f t="shared" si="4"/>
        <v>问题提交</v>
      </c>
      <c r="L69" s="9" t="s">
        <v>328</v>
      </c>
      <c r="M69" s="24" t="s">
        <v>329</v>
      </c>
      <c r="N69" s="15" t="s">
        <v>330</v>
      </c>
      <c r="O69" s="42">
        <v>43538</v>
      </c>
      <c r="P69" s="20" t="s">
        <v>331</v>
      </c>
      <c r="Q69" s="66">
        <v>43538</v>
      </c>
      <c r="R69" s="59" t="s">
        <v>210</v>
      </c>
      <c r="S69" s="52"/>
      <c r="T69" s="27"/>
    </row>
    <row r="70" ht="67.5" spans="1:20">
      <c r="A70" s="9">
        <f t="shared" si="3"/>
        <v>69</v>
      </c>
      <c r="B70" s="7" t="s">
        <v>317</v>
      </c>
      <c r="C70" s="7" t="s">
        <v>332</v>
      </c>
      <c r="D70" s="7" t="s">
        <v>117</v>
      </c>
      <c r="E70" s="7" t="s">
        <v>333</v>
      </c>
      <c r="F70" s="10">
        <v>43531</v>
      </c>
      <c r="G70" s="66">
        <v>43535</v>
      </c>
      <c r="H70" s="11" t="s">
        <v>80</v>
      </c>
      <c r="I70" s="11" t="s">
        <v>81</v>
      </c>
      <c r="J70" s="74" t="s">
        <v>88</v>
      </c>
      <c r="K70" s="11" t="s">
        <v>189</v>
      </c>
      <c r="L70" s="11" t="s">
        <v>334</v>
      </c>
      <c r="M70" s="11" t="s">
        <v>335</v>
      </c>
      <c r="N70" s="11"/>
      <c r="O70" s="42">
        <v>43538</v>
      </c>
      <c r="P70" s="20" t="s">
        <v>336</v>
      </c>
      <c r="Q70" s="66">
        <v>43538</v>
      </c>
      <c r="R70" s="93" t="s">
        <v>210</v>
      </c>
      <c r="S70" s="52" t="s">
        <v>337</v>
      </c>
      <c r="T70" s="27"/>
    </row>
    <row r="71" ht="108" hidden="1" spans="1:20">
      <c r="A71" s="9">
        <f t="shared" si="3"/>
        <v>70</v>
      </c>
      <c r="B71" s="7" t="s">
        <v>317</v>
      </c>
      <c r="C71" s="7" t="s">
        <v>338</v>
      </c>
      <c r="D71" s="7" t="s">
        <v>48</v>
      </c>
      <c r="E71" s="7" t="s">
        <v>339</v>
      </c>
      <c r="F71" s="10">
        <v>43525</v>
      </c>
      <c r="G71" s="11"/>
      <c r="H71" s="11"/>
      <c r="I71" s="11"/>
      <c r="J71" s="22" t="s">
        <v>82</v>
      </c>
      <c r="K71" s="10" t="str">
        <f t="shared" si="4"/>
        <v>问题提交</v>
      </c>
      <c r="L71" s="9" t="s">
        <v>340</v>
      </c>
      <c r="M71" s="24"/>
      <c r="N71" s="26" t="s">
        <v>341</v>
      </c>
      <c r="O71" s="49"/>
      <c r="P71" s="48"/>
      <c r="Q71" s="48"/>
      <c r="R71" s="48"/>
      <c r="S71" s="52"/>
      <c r="T71" s="27" t="s">
        <v>111</v>
      </c>
    </row>
    <row r="72" ht="50.25" customHeight="1" spans="1:20">
      <c r="A72" s="9">
        <f t="shared" si="3"/>
        <v>71</v>
      </c>
      <c r="B72" s="10" t="s">
        <v>78</v>
      </c>
      <c r="C72" s="10" t="s">
        <v>342</v>
      </c>
      <c r="D72" s="10" t="s">
        <v>47</v>
      </c>
      <c r="E72" s="10" t="s">
        <v>343</v>
      </c>
      <c r="F72" s="10">
        <v>43528</v>
      </c>
      <c r="G72" s="11" t="s">
        <v>344</v>
      </c>
      <c r="H72" s="11" t="s">
        <v>80</v>
      </c>
      <c r="I72" s="11" t="s">
        <v>81</v>
      </c>
      <c r="J72" s="76" t="s">
        <v>88</v>
      </c>
      <c r="K72" s="10" t="str">
        <f t="shared" si="4"/>
        <v>问题提交</v>
      </c>
      <c r="L72" s="9" t="s">
        <v>47</v>
      </c>
      <c r="M72" s="24" t="s">
        <v>345</v>
      </c>
      <c r="N72" s="15"/>
      <c r="O72" s="77">
        <v>43531</v>
      </c>
      <c r="P72" s="20" t="s">
        <v>346</v>
      </c>
      <c r="Q72" s="53">
        <v>43530</v>
      </c>
      <c r="R72" s="58" t="s">
        <v>95</v>
      </c>
      <c r="S72" s="52" t="s">
        <v>165</v>
      </c>
      <c r="T72" s="27"/>
    </row>
    <row r="73" ht="51" hidden="1" customHeight="1" spans="1:20">
      <c r="A73" s="9">
        <f t="shared" si="3"/>
        <v>72</v>
      </c>
      <c r="B73" s="10" t="s">
        <v>78</v>
      </c>
      <c r="C73" s="10" t="s">
        <v>320</v>
      </c>
      <c r="D73" s="10" t="s">
        <v>48</v>
      </c>
      <c r="E73" s="10" t="s">
        <v>347</v>
      </c>
      <c r="F73" s="10">
        <v>43525</v>
      </c>
      <c r="G73" s="67"/>
      <c r="H73" s="10"/>
      <c r="I73" s="10"/>
      <c r="J73" s="76" t="s">
        <v>82</v>
      </c>
      <c r="K73" s="10" t="str">
        <f t="shared" si="4"/>
        <v>问题提交</v>
      </c>
      <c r="L73" s="9" t="s">
        <v>204</v>
      </c>
      <c r="M73" s="24"/>
      <c r="N73" s="15"/>
      <c r="O73" s="49"/>
      <c r="P73" s="48"/>
      <c r="Q73" s="48"/>
      <c r="R73" s="48"/>
      <c r="S73" s="52"/>
      <c r="T73" s="27" t="s">
        <v>85</v>
      </c>
    </row>
    <row r="74" ht="67.5" hidden="1" spans="1:20">
      <c r="A74" s="9">
        <f t="shared" si="3"/>
        <v>73</v>
      </c>
      <c r="B74" s="10" t="s">
        <v>78</v>
      </c>
      <c r="C74" s="10" t="s">
        <v>318</v>
      </c>
      <c r="D74" s="10" t="s">
        <v>49</v>
      </c>
      <c r="E74" s="10" t="s">
        <v>348</v>
      </c>
      <c r="F74" s="10">
        <v>43528</v>
      </c>
      <c r="G74" s="67"/>
      <c r="H74" s="10"/>
      <c r="I74" s="10"/>
      <c r="J74" s="76" t="s">
        <v>105</v>
      </c>
      <c r="K74" s="10" t="str">
        <f t="shared" si="4"/>
        <v>问题提交</v>
      </c>
      <c r="L74" s="9" t="s">
        <v>204</v>
      </c>
      <c r="M74" s="24"/>
      <c r="N74" s="15"/>
      <c r="O74" s="49"/>
      <c r="P74" s="48"/>
      <c r="Q74" s="48"/>
      <c r="R74" s="48"/>
      <c r="S74" s="52"/>
      <c r="T74" s="27" t="s">
        <v>85</v>
      </c>
    </row>
    <row r="75" ht="50.25" customHeight="1" spans="1:20">
      <c r="A75" s="9">
        <f t="shared" si="3"/>
        <v>74</v>
      </c>
      <c r="B75" s="10" t="s">
        <v>78</v>
      </c>
      <c r="C75" s="10" t="s">
        <v>320</v>
      </c>
      <c r="D75" s="10" t="s">
        <v>47</v>
      </c>
      <c r="E75" s="10" t="s">
        <v>349</v>
      </c>
      <c r="F75" s="10">
        <v>43528</v>
      </c>
      <c r="G75" s="11" t="s">
        <v>344</v>
      </c>
      <c r="H75" s="11" t="s">
        <v>80</v>
      </c>
      <c r="I75" s="11" t="s">
        <v>81</v>
      </c>
      <c r="J75" s="76" t="s">
        <v>88</v>
      </c>
      <c r="K75" s="10" t="str">
        <f t="shared" si="4"/>
        <v>问题提交</v>
      </c>
      <c r="L75" s="9" t="s">
        <v>47</v>
      </c>
      <c r="M75" s="24" t="s">
        <v>345</v>
      </c>
      <c r="N75" s="15"/>
      <c r="O75" s="77">
        <v>43531</v>
      </c>
      <c r="P75" s="75" t="s">
        <v>325</v>
      </c>
      <c r="Q75" s="53">
        <v>43530</v>
      </c>
      <c r="R75" s="58" t="s">
        <v>95</v>
      </c>
      <c r="S75" s="52" t="s">
        <v>165</v>
      </c>
      <c r="T75" s="27"/>
    </row>
    <row r="76" ht="53.25" customHeight="1" spans="1:20">
      <c r="A76" s="9">
        <f t="shared" si="3"/>
        <v>75</v>
      </c>
      <c r="B76" s="10" t="s">
        <v>78</v>
      </c>
      <c r="C76" s="10" t="s">
        <v>350</v>
      </c>
      <c r="D76" s="10" t="s">
        <v>47</v>
      </c>
      <c r="E76" s="10" t="s">
        <v>349</v>
      </c>
      <c r="F76" s="10">
        <v>43528</v>
      </c>
      <c r="G76" s="11" t="s">
        <v>344</v>
      </c>
      <c r="H76" s="11" t="s">
        <v>80</v>
      </c>
      <c r="I76" s="11" t="s">
        <v>81</v>
      </c>
      <c r="J76" s="76" t="s">
        <v>88</v>
      </c>
      <c r="K76" s="10" t="str">
        <f t="shared" si="4"/>
        <v>问题提交</v>
      </c>
      <c r="L76" s="9" t="s">
        <v>47</v>
      </c>
      <c r="M76" s="24" t="s">
        <v>345</v>
      </c>
      <c r="N76" s="15"/>
      <c r="O76" s="77">
        <v>43531</v>
      </c>
      <c r="P76" s="20" t="s">
        <v>351</v>
      </c>
      <c r="Q76" s="53">
        <v>43530</v>
      </c>
      <c r="R76" s="58" t="s">
        <v>95</v>
      </c>
      <c r="S76" s="52" t="s">
        <v>165</v>
      </c>
      <c r="T76" s="27"/>
    </row>
    <row r="77" ht="57.75" customHeight="1" spans="1:20">
      <c r="A77" s="9">
        <f t="shared" si="3"/>
        <v>76</v>
      </c>
      <c r="B77" s="10" t="s">
        <v>78</v>
      </c>
      <c r="C77" s="10" t="s">
        <v>332</v>
      </c>
      <c r="D77" s="10" t="s">
        <v>47</v>
      </c>
      <c r="E77" s="10" t="s">
        <v>349</v>
      </c>
      <c r="F77" s="10">
        <v>43528</v>
      </c>
      <c r="G77" s="11" t="s">
        <v>344</v>
      </c>
      <c r="H77" s="11" t="s">
        <v>80</v>
      </c>
      <c r="I77" s="11" t="s">
        <v>81</v>
      </c>
      <c r="J77" s="76" t="s">
        <v>88</v>
      </c>
      <c r="K77" s="78" t="str">
        <f t="shared" si="4"/>
        <v>问题提交</v>
      </c>
      <c r="L77" s="9" t="s">
        <v>47</v>
      </c>
      <c r="M77" s="24" t="s">
        <v>345</v>
      </c>
      <c r="N77" s="15"/>
      <c r="O77" s="77">
        <v>43531</v>
      </c>
      <c r="P77" s="20" t="s">
        <v>336</v>
      </c>
      <c r="Q77" s="53">
        <v>43530</v>
      </c>
      <c r="R77" s="58" t="s">
        <v>95</v>
      </c>
      <c r="S77" s="52" t="s">
        <v>165</v>
      </c>
      <c r="T77" s="27"/>
    </row>
    <row r="78" ht="48" hidden="1" customHeight="1" spans="1:20">
      <c r="A78" s="9">
        <f t="shared" si="3"/>
        <v>77</v>
      </c>
      <c r="B78" s="12" t="s">
        <v>78</v>
      </c>
      <c r="C78" s="12" t="s">
        <v>352</v>
      </c>
      <c r="D78" s="12" t="s">
        <v>48</v>
      </c>
      <c r="E78" s="12" t="s">
        <v>353</v>
      </c>
      <c r="F78" s="68">
        <v>43530</v>
      </c>
      <c r="G78" s="11"/>
      <c r="H78" s="11" t="s">
        <v>80</v>
      </c>
      <c r="I78" s="11" t="s">
        <v>81</v>
      </c>
      <c r="J78" s="79" t="s">
        <v>82</v>
      </c>
      <c r="K78" s="78" t="str">
        <f t="shared" si="4"/>
        <v>问题提交</v>
      </c>
      <c r="L78" s="9" t="s">
        <v>354</v>
      </c>
      <c r="M78" s="24"/>
      <c r="N78" s="9"/>
      <c r="O78" s="10"/>
      <c r="P78" s="19"/>
      <c r="Q78" s="19"/>
      <c r="R78" s="19"/>
      <c r="S78" s="54"/>
      <c r="T78" s="27" t="s">
        <v>85</v>
      </c>
    </row>
    <row r="79" ht="27" spans="1:20">
      <c r="A79" s="9">
        <f t="shared" si="3"/>
        <v>78</v>
      </c>
      <c r="B79" s="12" t="s">
        <v>78</v>
      </c>
      <c r="C79" s="12" t="s">
        <v>352</v>
      </c>
      <c r="D79" s="12" t="s">
        <v>47</v>
      </c>
      <c r="E79" s="12" t="s">
        <v>355</v>
      </c>
      <c r="F79" s="68">
        <v>43530</v>
      </c>
      <c r="G79" s="11" t="s">
        <v>344</v>
      </c>
      <c r="H79" s="11" t="s">
        <v>80</v>
      </c>
      <c r="I79" s="11" t="s">
        <v>81</v>
      </c>
      <c r="J79" s="79" t="s">
        <v>88</v>
      </c>
      <c r="K79" s="78" t="s">
        <v>89</v>
      </c>
      <c r="L79" s="9" t="s">
        <v>356</v>
      </c>
      <c r="M79" s="24" t="s">
        <v>91</v>
      </c>
      <c r="N79" s="9"/>
      <c r="O79" s="28">
        <v>43531</v>
      </c>
      <c r="P79" s="19" t="s">
        <v>357</v>
      </c>
      <c r="Q79" s="53">
        <v>43530</v>
      </c>
      <c r="R79" s="58" t="s">
        <v>95</v>
      </c>
      <c r="S79" s="54" t="s">
        <v>165</v>
      </c>
      <c r="T79" s="27"/>
    </row>
    <row r="80" ht="40.5" hidden="1" spans="1:20">
      <c r="A80" s="9">
        <f t="shared" si="3"/>
        <v>79</v>
      </c>
      <c r="B80" s="12" t="s">
        <v>78</v>
      </c>
      <c r="C80" s="12" t="s">
        <v>352</v>
      </c>
      <c r="D80" s="12" t="s">
        <v>48</v>
      </c>
      <c r="E80" s="12" t="s">
        <v>358</v>
      </c>
      <c r="F80" s="68">
        <v>43530</v>
      </c>
      <c r="G80" s="11"/>
      <c r="H80" s="11" t="s">
        <v>80</v>
      </c>
      <c r="I80" s="11" t="s">
        <v>81</v>
      </c>
      <c r="J80" s="79" t="s">
        <v>82</v>
      </c>
      <c r="K80" s="78" t="str">
        <f t="shared" si="4"/>
        <v>问题提交</v>
      </c>
      <c r="L80" s="9" t="s">
        <v>354</v>
      </c>
      <c r="M80" s="24"/>
      <c r="N80" s="9"/>
      <c r="O80" s="10"/>
      <c r="P80" s="19"/>
      <c r="Q80" s="19"/>
      <c r="R80" s="19"/>
      <c r="S80" s="54"/>
      <c r="T80" s="27" t="s">
        <v>85</v>
      </c>
    </row>
    <row r="81" ht="36.75" customHeight="1" spans="1:20">
      <c r="A81" s="9">
        <f t="shared" si="3"/>
        <v>80</v>
      </c>
      <c r="B81" s="12" t="s">
        <v>78</v>
      </c>
      <c r="C81" s="12" t="s">
        <v>352</v>
      </c>
      <c r="D81" s="12" t="s">
        <v>47</v>
      </c>
      <c r="E81" s="12" t="s">
        <v>359</v>
      </c>
      <c r="F81" s="68">
        <v>43530</v>
      </c>
      <c r="G81" s="11" t="s">
        <v>344</v>
      </c>
      <c r="H81" s="11" t="s">
        <v>80</v>
      </c>
      <c r="I81" s="11" t="s">
        <v>81</v>
      </c>
      <c r="J81" s="79" t="s">
        <v>88</v>
      </c>
      <c r="K81" s="78" t="s">
        <v>89</v>
      </c>
      <c r="L81" s="9" t="s">
        <v>360</v>
      </c>
      <c r="M81" s="24" t="s">
        <v>91</v>
      </c>
      <c r="N81" s="9"/>
      <c r="O81" s="28">
        <v>43531</v>
      </c>
      <c r="P81" s="19" t="s">
        <v>357</v>
      </c>
      <c r="Q81" s="53">
        <v>43530</v>
      </c>
      <c r="R81" s="58" t="s">
        <v>95</v>
      </c>
      <c r="S81" s="54" t="s">
        <v>165</v>
      </c>
      <c r="T81" s="27"/>
    </row>
    <row r="82" ht="54" hidden="1" spans="1:20">
      <c r="A82" s="9">
        <f t="shared" si="3"/>
        <v>81</v>
      </c>
      <c r="B82" s="12" t="s">
        <v>78</v>
      </c>
      <c r="C82" s="12" t="s">
        <v>352</v>
      </c>
      <c r="D82" s="12" t="s">
        <v>49</v>
      </c>
      <c r="E82" s="12" t="s">
        <v>361</v>
      </c>
      <c r="F82" s="68">
        <v>43530</v>
      </c>
      <c r="G82" s="11"/>
      <c r="H82" s="11" t="s">
        <v>80</v>
      </c>
      <c r="I82" s="11" t="s">
        <v>81</v>
      </c>
      <c r="J82" s="79" t="s">
        <v>105</v>
      </c>
      <c r="K82" s="78" t="str">
        <f t="shared" si="4"/>
        <v>问题提交</v>
      </c>
      <c r="L82" s="9" t="s">
        <v>362</v>
      </c>
      <c r="M82" s="24"/>
      <c r="N82" s="9"/>
      <c r="O82" s="10"/>
      <c r="P82" s="19"/>
      <c r="Q82" s="53"/>
      <c r="R82" s="36"/>
      <c r="S82" s="54"/>
      <c r="T82" s="27" t="s">
        <v>85</v>
      </c>
    </row>
    <row r="83" ht="40.5" hidden="1" spans="1:20">
      <c r="A83" s="9">
        <f t="shared" si="3"/>
        <v>82</v>
      </c>
      <c r="B83" s="12" t="s">
        <v>78</v>
      </c>
      <c r="C83" s="12" t="s">
        <v>352</v>
      </c>
      <c r="D83" s="12" t="s">
        <v>47</v>
      </c>
      <c r="E83" s="12" t="s">
        <v>363</v>
      </c>
      <c r="F83" s="68">
        <v>43530</v>
      </c>
      <c r="G83" s="11" t="s">
        <v>322</v>
      </c>
      <c r="H83" s="11" t="s">
        <v>364</v>
      </c>
      <c r="I83" s="11" t="s">
        <v>81</v>
      </c>
      <c r="J83" s="79" t="s">
        <v>88</v>
      </c>
      <c r="K83" s="78" t="str">
        <f t="shared" si="4"/>
        <v>问题提交</v>
      </c>
      <c r="L83" s="9" t="s">
        <v>365</v>
      </c>
      <c r="M83" s="24" t="s">
        <v>366</v>
      </c>
      <c r="N83" s="9"/>
      <c r="O83" s="46">
        <v>43538</v>
      </c>
      <c r="P83" s="27" t="s">
        <v>367</v>
      </c>
      <c r="Q83" s="11">
        <v>43538</v>
      </c>
      <c r="R83" s="94" t="s">
        <v>210</v>
      </c>
      <c r="S83" s="54"/>
      <c r="T83" s="27"/>
    </row>
    <row r="84" ht="54" hidden="1" spans="1:20">
      <c r="A84" s="9">
        <f t="shared" si="3"/>
        <v>83</v>
      </c>
      <c r="B84" s="12" t="s">
        <v>78</v>
      </c>
      <c r="C84" s="12" t="s">
        <v>368</v>
      </c>
      <c r="D84" s="12" t="s">
        <v>47</v>
      </c>
      <c r="E84" s="12" t="s">
        <v>369</v>
      </c>
      <c r="F84" s="68">
        <v>43530</v>
      </c>
      <c r="G84" s="11" t="s">
        <v>322</v>
      </c>
      <c r="H84" s="11" t="s">
        <v>364</v>
      </c>
      <c r="I84" s="11" t="s">
        <v>81</v>
      </c>
      <c r="J84" s="79" t="s">
        <v>88</v>
      </c>
      <c r="K84" s="78" t="str">
        <f t="shared" si="4"/>
        <v>问题提交</v>
      </c>
      <c r="L84" s="9" t="s">
        <v>370</v>
      </c>
      <c r="M84" s="24" t="s">
        <v>371</v>
      </c>
      <c r="N84" s="9"/>
      <c r="O84" s="46">
        <v>43538</v>
      </c>
      <c r="P84" s="19" t="s">
        <v>372</v>
      </c>
      <c r="Q84" s="11">
        <v>43538</v>
      </c>
      <c r="R84" s="94" t="s">
        <v>210</v>
      </c>
      <c r="S84" s="54"/>
      <c r="T84" s="27"/>
    </row>
    <row r="85" ht="40.5" hidden="1" spans="1:20">
      <c r="A85" s="9">
        <f t="shared" si="3"/>
        <v>84</v>
      </c>
      <c r="B85" s="12" t="s">
        <v>78</v>
      </c>
      <c r="C85" s="12" t="s">
        <v>368</v>
      </c>
      <c r="D85" s="12" t="s">
        <v>47</v>
      </c>
      <c r="E85" s="12" t="s">
        <v>373</v>
      </c>
      <c r="F85" s="68">
        <v>43530</v>
      </c>
      <c r="G85" s="11" t="s">
        <v>322</v>
      </c>
      <c r="H85" s="11" t="s">
        <v>364</v>
      </c>
      <c r="I85" s="11" t="s">
        <v>81</v>
      </c>
      <c r="J85" s="79" t="s">
        <v>88</v>
      </c>
      <c r="K85" s="78" t="str">
        <f t="shared" si="4"/>
        <v>问题提交</v>
      </c>
      <c r="L85" s="9" t="s">
        <v>374</v>
      </c>
      <c r="M85" s="24" t="s">
        <v>375</v>
      </c>
      <c r="N85" s="9"/>
      <c r="O85" s="46">
        <v>43538</v>
      </c>
      <c r="P85" s="19" t="s">
        <v>376</v>
      </c>
      <c r="Q85" s="11">
        <v>43538</v>
      </c>
      <c r="R85" s="95" t="s">
        <v>210</v>
      </c>
      <c r="S85" s="54"/>
      <c r="T85" s="27"/>
    </row>
    <row r="86" ht="40.5" hidden="1" spans="1:20">
      <c r="A86" s="9">
        <f t="shared" si="3"/>
        <v>85</v>
      </c>
      <c r="B86" s="12" t="s">
        <v>78</v>
      </c>
      <c r="C86" s="12" t="s">
        <v>377</v>
      </c>
      <c r="D86" s="12" t="s">
        <v>48</v>
      </c>
      <c r="E86" s="12" t="s">
        <v>378</v>
      </c>
      <c r="F86" s="68">
        <v>43530</v>
      </c>
      <c r="G86" s="11"/>
      <c r="H86" s="11" t="s">
        <v>80</v>
      </c>
      <c r="I86" s="11" t="s">
        <v>81</v>
      </c>
      <c r="J86" s="79" t="s">
        <v>82</v>
      </c>
      <c r="K86" s="78" t="str">
        <f t="shared" si="4"/>
        <v>问题提交</v>
      </c>
      <c r="L86" s="9" t="s">
        <v>98</v>
      </c>
      <c r="M86" s="24"/>
      <c r="N86" s="9"/>
      <c r="O86" s="46">
        <v>43538</v>
      </c>
      <c r="P86" s="19"/>
      <c r="Q86" s="11">
        <v>43538</v>
      </c>
      <c r="R86" s="94" t="s">
        <v>210</v>
      </c>
      <c r="S86" s="54"/>
      <c r="T86" s="27" t="s">
        <v>85</v>
      </c>
    </row>
    <row r="87" ht="27" hidden="1" spans="1:20">
      <c r="A87" s="9">
        <f t="shared" si="3"/>
        <v>86</v>
      </c>
      <c r="B87" s="12" t="s">
        <v>78</v>
      </c>
      <c r="C87" s="12" t="s">
        <v>377</v>
      </c>
      <c r="D87" s="12" t="s">
        <v>48</v>
      </c>
      <c r="E87" s="12" t="s">
        <v>379</v>
      </c>
      <c r="F87" s="68">
        <v>43530</v>
      </c>
      <c r="G87" s="11"/>
      <c r="H87" s="11" t="s">
        <v>80</v>
      </c>
      <c r="I87" s="11" t="s">
        <v>81</v>
      </c>
      <c r="J87" s="79" t="s">
        <v>82</v>
      </c>
      <c r="K87" s="78" t="str">
        <f t="shared" si="4"/>
        <v>问题提交</v>
      </c>
      <c r="L87" s="9" t="s">
        <v>98</v>
      </c>
      <c r="M87" s="24"/>
      <c r="N87" s="9"/>
      <c r="O87" s="46">
        <v>43538</v>
      </c>
      <c r="P87" s="19"/>
      <c r="Q87" s="11">
        <v>43538</v>
      </c>
      <c r="R87" s="94" t="s">
        <v>210</v>
      </c>
      <c r="S87" s="54"/>
      <c r="T87" s="27" t="s">
        <v>85</v>
      </c>
    </row>
    <row r="88" ht="81" hidden="1" spans="1:20">
      <c r="A88" s="9">
        <f t="shared" si="3"/>
        <v>87</v>
      </c>
      <c r="B88" s="12" t="s">
        <v>78</v>
      </c>
      <c r="C88" s="12" t="s">
        <v>377</v>
      </c>
      <c r="D88" s="12" t="s">
        <v>49</v>
      </c>
      <c r="E88" s="12" t="s">
        <v>380</v>
      </c>
      <c r="F88" s="68">
        <v>43530</v>
      </c>
      <c r="G88" s="11"/>
      <c r="H88" s="11" t="s">
        <v>80</v>
      </c>
      <c r="I88" s="11" t="s">
        <v>81</v>
      </c>
      <c r="J88" s="79" t="s">
        <v>105</v>
      </c>
      <c r="K88" s="78" t="str">
        <f t="shared" si="4"/>
        <v>问题提交</v>
      </c>
      <c r="L88" s="9" t="s">
        <v>381</v>
      </c>
      <c r="M88" s="24"/>
      <c r="N88" s="9" t="s">
        <v>382</v>
      </c>
      <c r="O88" s="10"/>
      <c r="P88" s="27"/>
      <c r="Q88" s="53"/>
      <c r="R88" s="96"/>
      <c r="S88" s="54"/>
      <c r="T88" s="27" t="s">
        <v>383</v>
      </c>
    </row>
    <row r="89" ht="35.25" hidden="1" customHeight="1" spans="1:20">
      <c r="A89" s="9">
        <f t="shared" si="3"/>
        <v>88</v>
      </c>
      <c r="B89" s="12" t="s">
        <v>78</v>
      </c>
      <c r="C89" s="12" t="s">
        <v>377</v>
      </c>
      <c r="D89" s="12" t="s">
        <v>48</v>
      </c>
      <c r="E89" s="12" t="s">
        <v>384</v>
      </c>
      <c r="F89" s="68">
        <v>43530</v>
      </c>
      <c r="G89" s="11"/>
      <c r="H89" s="11" t="s">
        <v>80</v>
      </c>
      <c r="I89" s="11" t="s">
        <v>81</v>
      </c>
      <c r="J89" s="79" t="s">
        <v>82</v>
      </c>
      <c r="K89" s="78" t="str">
        <f t="shared" si="4"/>
        <v>问题提交</v>
      </c>
      <c r="L89" s="9" t="s">
        <v>385</v>
      </c>
      <c r="M89" s="24"/>
      <c r="N89" s="9"/>
      <c r="O89" s="10"/>
      <c r="P89" s="19"/>
      <c r="Q89" s="19"/>
      <c r="R89" s="97"/>
      <c r="S89" s="54"/>
      <c r="T89" s="27" t="s">
        <v>85</v>
      </c>
    </row>
    <row r="90" ht="54" hidden="1" spans="1:20">
      <c r="A90" s="9">
        <f t="shared" si="3"/>
        <v>89</v>
      </c>
      <c r="B90" s="12" t="s">
        <v>78</v>
      </c>
      <c r="C90" s="12" t="s">
        <v>352</v>
      </c>
      <c r="D90" s="12" t="s">
        <v>47</v>
      </c>
      <c r="E90" s="12" t="s">
        <v>386</v>
      </c>
      <c r="F90" s="68">
        <v>43530</v>
      </c>
      <c r="G90" s="11" t="s">
        <v>322</v>
      </c>
      <c r="H90" s="11" t="s">
        <v>364</v>
      </c>
      <c r="I90" s="11" t="s">
        <v>81</v>
      </c>
      <c r="J90" s="79" t="s">
        <v>88</v>
      </c>
      <c r="K90" s="78" t="str">
        <f t="shared" si="4"/>
        <v>问题提交</v>
      </c>
      <c r="L90" s="9" t="s">
        <v>387</v>
      </c>
      <c r="M90" s="24" t="s">
        <v>388</v>
      </c>
      <c r="N90" s="9"/>
      <c r="O90" s="46">
        <v>43538</v>
      </c>
      <c r="P90" s="27" t="s">
        <v>389</v>
      </c>
      <c r="Q90" s="66">
        <v>43538</v>
      </c>
      <c r="R90" s="94" t="s">
        <v>210</v>
      </c>
      <c r="S90" s="54"/>
      <c r="T90" s="27"/>
    </row>
    <row r="91" ht="40.5" hidden="1" spans="1:20">
      <c r="A91" s="9">
        <f t="shared" si="3"/>
        <v>90</v>
      </c>
      <c r="B91" s="12" t="s">
        <v>317</v>
      </c>
      <c r="C91" s="12" t="s">
        <v>352</v>
      </c>
      <c r="D91" s="12" t="s">
        <v>47</v>
      </c>
      <c r="E91" s="12" t="s">
        <v>390</v>
      </c>
      <c r="F91" s="68">
        <v>43530</v>
      </c>
      <c r="G91" s="11" t="s">
        <v>322</v>
      </c>
      <c r="H91" s="11" t="s">
        <v>364</v>
      </c>
      <c r="I91" s="11" t="s">
        <v>81</v>
      </c>
      <c r="J91" s="79" t="s">
        <v>88</v>
      </c>
      <c r="K91" s="78" t="str">
        <f t="shared" si="4"/>
        <v>问题提交</v>
      </c>
      <c r="L91" s="9" t="s">
        <v>391</v>
      </c>
      <c r="M91" s="24" t="s">
        <v>392</v>
      </c>
      <c r="N91" s="9"/>
      <c r="O91" s="46">
        <v>43538</v>
      </c>
      <c r="P91" s="27" t="s">
        <v>393</v>
      </c>
      <c r="Q91" s="66">
        <v>43538</v>
      </c>
      <c r="R91" s="94" t="s">
        <v>210</v>
      </c>
      <c r="S91" s="54"/>
      <c r="T91" s="27"/>
    </row>
    <row r="92" ht="27" hidden="1" spans="1:20">
      <c r="A92" s="9">
        <f t="shared" si="3"/>
        <v>91</v>
      </c>
      <c r="B92" s="12" t="s">
        <v>317</v>
      </c>
      <c r="C92" s="12" t="s">
        <v>377</v>
      </c>
      <c r="D92" s="12" t="s">
        <v>49</v>
      </c>
      <c r="E92" s="12" t="s">
        <v>394</v>
      </c>
      <c r="F92" s="68">
        <v>43530</v>
      </c>
      <c r="G92" s="11"/>
      <c r="H92" s="11" t="s">
        <v>80</v>
      </c>
      <c r="I92" s="11" t="s">
        <v>81</v>
      </c>
      <c r="J92" s="79" t="s">
        <v>105</v>
      </c>
      <c r="K92" s="78" t="str">
        <f t="shared" si="4"/>
        <v>问题提交</v>
      </c>
      <c r="L92" s="9" t="s">
        <v>395</v>
      </c>
      <c r="M92" s="24"/>
      <c r="N92" s="9"/>
      <c r="O92" s="10"/>
      <c r="P92" s="27"/>
      <c r="Q92" s="53"/>
      <c r="R92" s="96"/>
      <c r="S92" s="54"/>
      <c r="T92" s="27" t="s">
        <v>111</v>
      </c>
    </row>
    <row r="93" ht="40.5" hidden="1" spans="1:20">
      <c r="A93" s="9">
        <f t="shared" si="3"/>
        <v>92</v>
      </c>
      <c r="B93" s="12" t="s">
        <v>396</v>
      </c>
      <c r="C93" s="12" t="s">
        <v>397</v>
      </c>
      <c r="D93" s="12" t="s">
        <v>49</v>
      </c>
      <c r="E93" s="12" t="s">
        <v>398</v>
      </c>
      <c r="F93" s="68">
        <v>43530</v>
      </c>
      <c r="G93" s="11"/>
      <c r="H93" s="11" t="s">
        <v>80</v>
      </c>
      <c r="I93" s="11" t="s">
        <v>81</v>
      </c>
      <c r="J93" s="79" t="s">
        <v>105</v>
      </c>
      <c r="K93" s="78" t="str">
        <f t="shared" si="4"/>
        <v>问题提交</v>
      </c>
      <c r="L93" s="9" t="s">
        <v>399</v>
      </c>
      <c r="M93" s="24"/>
      <c r="N93" s="80"/>
      <c r="O93" s="10"/>
      <c r="P93" s="27"/>
      <c r="Q93" s="53"/>
      <c r="R93" s="97"/>
      <c r="S93" s="98"/>
      <c r="T93" s="27" t="s">
        <v>111</v>
      </c>
    </row>
    <row r="94" ht="54" hidden="1" spans="1:20">
      <c r="A94" s="9">
        <f t="shared" si="3"/>
        <v>93</v>
      </c>
      <c r="B94" s="12" t="s">
        <v>396</v>
      </c>
      <c r="C94" s="12" t="s">
        <v>352</v>
      </c>
      <c r="D94" s="12" t="s">
        <v>47</v>
      </c>
      <c r="E94" s="12" t="s">
        <v>400</v>
      </c>
      <c r="F94" s="68">
        <v>43530</v>
      </c>
      <c r="G94" s="11" t="s">
        <v>322</v>
      </c>
      <c r="H94" s="11" t="s">
        <v>364</v>
      </c>
      <c r="I94" s="11" t="s">
        <v>81</v>
      </c>
      <c r="J94" s="79" t="s">
        <v>88</v>
      </c>
      <c r="K94" s="78" t="str">
        <f t="shared" si="4"/>
        <v>问题提交</v>
      </c>
      <c r="L94" s="80" t="s">
        <v>401</v>
      </c>
      <c r="M94" s="81" t="s">
        <v>91</v>
      </c>
      <c r="N94" s="82"/>
      <c r="O94" s="83">
        <v>43538</v>
      </c>
      <c r="P94" s="27" t="s">
        <v>402</v>
      </c>
      <c r="Q94" s="66">
        <v>43538</v>
      </c>
      <c r="R94" s="94" t="s">
        <v>210</v>
      </c>
      <c r="S94" s="54"/>
      <c r="T94" s="27"/>
    </row>
    <row r="95" ht="67.5" hidden="1" spans="1:20">
      <c r="A95" s="9">
        <f t="shared" si="3"/>
        <v>94</v>
      </c>
      <c r="B95" s="7" t="s">
        <v>396</v>
      </c>
      <c r="C95" s="7" t="s">
        <v>397</v>
      </c>
      <c r="D95" s="7" t="s">
        <v>49</v>
      </c>
      <c r="E95" s="7" t="s">
        <v>403</v>
      </c>
      <c r="F95" s="10">
        <v>43531</v>
      </c>
      <c r="G95" s="69"/>
      <c r="H95" s="11" t="s">
        <v>80</v>
      </c>
      <c r="I95" s="11" t="s">
        <v>81</v>
      </c>
      <c r="J95" s="76" t="s">
        <v>105</v>
      </c>
      <c r="K95" s="84" t="str">
        <f t="shared" si="4"/>
        <v>问题提交</v>
      </c>
      <c r="L95" s="9" t="s">
        <v>404</v>
      </c>
      <c r="M95" s="9"/>
      <c r="N95" s="85"/>
      <c r="O95" s="9"/>
      <c r="P95" s="9"/>
      <c r="Q95" s="9"/>
      <c r="R95" s="85"/>
      <c r="S95" s="98"/>
      <c r="T95" s="27" t="s">
        <v>85</v>
      </c>
    </row>
    <row r="96" ht="40.5" hidden="1" spans="1:20">
      <c r="A96" s="9">
        <f t="shared" si="3"/>
        <v>95</v>
      </c>
      <c r="B96" s="7" t="s">
        <v>317</v>
      </c>
      <c r="C96" s="7" t="s">
        <v>352</v>
      </c>
      <c r="D96" s="7" t="s">
        <v>47</v>
      </c>
      <c r="E96" s="7" t="s">
        <v>405</v>
      </c>
      <c r="F96" s="10">
        <v>43530</v>
      </c>
      <c r="G96" s="11" t="s">
        <v>322</v>
      </c>
      <c r="H96" s="11" t="s">
        <v>364</v>
      </c>
      <c r="I96" s="11" t="s">
        <v>81</v>
      </c>
      <c r="J96" s="76" t="s">
        <v>88</v>
      </c>
      <c r="K96" s="78" t="s">
        <v>406</v>
      </c>
      <c r="L96" s="9" t="s">
        <v>407</v>
      </c>
      <c r="M96" s="31" t="s">
        <v>408</v>
      </c>
      <c r="N96" s="80"/>
      <c r="O96" s="9"/>
      <c r="P96" s="9" t="s">
        <v>409</v>
      </c>
      <c r="Q96" s="66">
        <v>43538</v>
      </c>
      <c r="R96" s="94" t="s">
        <v>210</v>
      </c>
      <c r="S96" s="98"/>
      <c r="T96" s="27"/>
    </row>
    <row r="97" ht="54" hidden="1" spans="1:20">
      <c r="A97" s="9">
        <f t="shared" si="3"/>
        <v>96</v>
      </c>
      <c r="B97" s="7" t="s">
        <v>396</v>
      </c>
      <c r="C97" s="7" t="s">
        <v>377</v>
      </c>
      <c r="D97" s="7" t="s">
        <v>47</v>
      </c>
      <c r="E97" s="7" t="s">
        <v>410</v>
      </c>
      <c r="F97" s="10">
        <v>43531</v>
      </c>
      <c r="G97" s="11" t="s">
        <v>322</v>
      </c>
      <c r="H97" s="11" t="s">
        <v>364</v>
      </c>
      <c r="I97" s="11" t="s">
        <v>81</v>
      </c>
      <c r="J97" s="76" t="s">
        <v>88</v>
      </c>
      <c r="K97" s="78" t="str">
        <f t="shared" si="4"/>
        <v>问题提交</v>
      </c>
      <c r="L97" s="85" t="s">
        <v>411</v>
      </c>
      <c r="M97" s="86" t="s">
        <v>162</v>
      </c>
      <c r="N97" s="82"/>
      <c r="O97" s="83">
        <v>43538</v>
      </c>
      <c r="P97" s="87" t="s">
        <v>412</v>
      </c>
      <c r="Q97" s="66">
        <v>43538</v>
      </c>
      <c r="R97" s="94" t="s">
        <v>210</v>
      </c>
      <c r="S97" s="54"/>
      <c r="T97" s="27"/>
    </row>
    <row r="98" ht="40.5" hidden="1" spans="1:20">
      <c r="A98" s="9">
        <f t="shared" si="3"/>
        <v>97</v>
      </c>
      <c r="B98" s="7" t="s">
        <v>396</v>
      </c>
      <c r="C98" s="7" t="s">
        <v>397</v>
      </c>
      <c r="D98" s="7" t="s">
        <v>47</v>
      </c>
      <c r="E98" s="12" t="s">
        <v>413</v>
      </c>
      <c r="F98" s="10">
        <v>43531</v>
      </c>
      <c r="G98" s="11" t="s">
        <v>322</v>
      </c>
      <c r="H98" s="11" t="s">
        <v>364</v>
      </c>
      <c r="I98" s="11" t="s">
        <v>81</v>
      </c>
      <c r="J98" s="76" t="s">
        <v>88</v>
      </c>
      <c r="K98" s="78" t="str">
        <f t="shared" si="4"/>
        <v>问题提交</v>
      </c>
      <c r="L98" s="9" t="s">
        <v>414</v>
      </c>
      <c r="M98" s="24" t="s">
        <v>415</v>
      </c>
      <c r="N98" s="85"/>
      <c r="O98" s="10"/>
      <c r="P98" s="27" t="s">
        <v>412</v>
      </c>
      <c r="Q98" s="66">
        <v>43538</v>
      </c>
      <c r="R98" s="94" t="s">
        <v>210</v>
      </c>
      <c r="S98" s="54"/>
      <c r="T98" s="27"/>
    </row>
    <row r="99" ht="83.25" hidden="1" customHeight="1" spans="1:20">
      <c r="A99" s="9">
        <f t="shared" si="3"/>
        <v>98</v>
      </c>
      <c r="B99" s="7" t="s">
        <v>396</v>
      </c>
      <c r="C99" s="7" t="s">
        <v>377</v>
      </c>
      <c r="D99" s="7" t="s">
        <v>47</v>
      </c>
      <c r="E99" s="7" t="s">
        <v>416</v>
      </c>
      <c r="F99" s="10">
        <v>43531</v>
      </c>
      <c r="G99" s="11" t="s">
        <v>322</v>
      </c>
      <c r="H99" s="11" t="s">
        <v>364</v>
      </c>
      <c r="I99" s="11" t="s">
        <v>81</v>
      </c>
      <c r="J99" s="76" t="s">
        <v>88</v>
      </c>
      <c r="K99" s="78" t="str">
        <f t="shared" si="4"/>
        <v>问题提交</v>
      </c>
      <c r="L99" s="9" t="s">
        <v>417</v>
      </c>
      <c r="M99" s="24" t="s">
        <v>91</v>
      </c>
      <c r="N99" s="9"/>
      <c r="O99" s="10"/>
      <c r="P99" s="27" t="s">
        <v>418</v>
      </c>
      <c r="Q99" s="66">
        <v>43538</v>
      </c>
      <c r="R99" s="94" t="s">
        <v>210</v>
      </c>
      <c r="S99" s="54"/>
      <c r="T99" s="27"/>
    </row>
    <row r="100" ht="118.5" hidden="1" customHeight="1" spans="1:20">
      <c r="A100" s="9">
        <f t="shared" si="3"/>
        <v>99</v>
      </c>
      <c r="B100" s="7" t="s">
        <v>396</v>
      </c>
      <c r="C100" s="7" t="s">
        <v>397</v>
      </c>
      <c r="D100" s="7" t="s">
        <v>49</v>
      </c>
      <c r="E100" s="7" t="s">
        <v>419</v>
      </c>
      <c r="F100" s="10">
        <v>43531</v>
      </c>
      <c r="G100" s="69"/>
      <c r="H100" s="11" t="s">
        <v>80</v>
      </c>
      <c r="I100" s="11" t="s">
        <v>81</v>
      </c>
      <c r="J100" s="76" t="s">
        <v>105</v>
      </c>
      <c r="K100" s="78" t="str">
        <f t="shared" si="4"/>
        <v>问题提交</v>
      </c>
      <c r="L100" s="9" t="s">
        <v>420</v>
      </c>
      <c r="M100" s="24"/>
      <c r="N100" s="9"/>
      <c r="O100" s="10"/>
      <c r="P100" s="27"/>
      <c r="Q100" s="53"/>
      <c r="R100" s="97"/>
      <c r="S100" s="54"/>
      <c r="T100" s="99"/>
    </row>
    <row r="101" ht="40.5" hidden="1" spans="1:20">
      <c r="A101" s="9">
        <f t="shared" si="3"/>
        <v>100</v>
      </c>
      <c r="B101" s="7" t="s">
        <v>317</v>
      </c>
      <c r="C101" s="7" t="s">
        <v>397</v>
      </c>
      <c r="D101" s="7" t="s">
        <v>49</v>
      </c>
      <c r="E101" s="7" t="s">
        <v>421</v>
      </c>
      <c r="F101" s="10">
        <v>43531</v>
      </c>
      <c r="G101" s="11" t="s">
        <v>322</v>
      </c>
      <c r="H101" s="11" t="s">
        <v>364</v>
      </c>
      <c r="I101" s="11" t="s">
        <v>81</v>
      </c>
      <c r="J101" s="76" t="s">
        <v>88</v>
      </c>
      <c r="K101" s="78" t="s">
        <v>406</v>
      </c>
      <c r="L101" s="9" t="s">
        <v>422</v>
      </c>
      <c r="M101" s="24"/>
      <c r="N101" s="9"/>
      <c r="O101" s="83">
        <v>43538</v>
      </c>
      <c r="P101" s="27"/>
      <c r="Q101" s="66">
        <v>43538</v>
      </c>
      <c r="R101" s="94" t="s">
        <v>210</v>
      </c>
      <c r="S101" s="54"/>
      <c r="T101" s="27" t="s">
        <v>85</v>
      </c>
    </row>
    <row r="102" ht="102.75" hidden="1" customHeight="1" spans="1:20">
      <c r="A102" s="9">
        <f t="shared" si="3"/>
        <v>101</v>
      </c>
      <c r="B102" s="7" t="s">
        <v>317</v>
      </c>
      <c r="C102" s="7" t="s">
        <v>377</v>
      </c>
      <c r="D102" s="7" t="s">
        <v>49</v>
      </c>
      <c r="E102" s="7" t="s">
        <v>423</v>
      </c>
      <c r="F102" s="10">
        <v>43531</v>
      </c>
      <c r="G102" s="69"/>
      <c r="H102" s="11" t="s">
        <v>80</v>
      </c>
      <c r="I102" s="11" t="s">
        <v>81</v>
      </c>
      <c r="J102" s="76" t="s">
        <v>105</v>
      </c>
      <c r="K102" s="78" t="s">
        <v>406</v>
      </c>
      <c r="L102" s="9" t="s">
        <v>423</v>
      </c>
      <c r="M102" s="24"/>
      <c r="N102" s="9" t="s">
        <v>424</v>
      </c>
      <c r="O102" s="10"/>
      <c r="P102" s="27"/>
      <c r="Q102" s="53"/>
      <c r="R102" s="96"/>
      <c r="S102" s="54"/>
      <c r="T102" s="27" t="s">
        <v>111</v>
      </c>
    </row>
    <row r="103" ht="77.25" hidden="1" customHeight="1" spans="1:20">
      <c r="A103" s="9">
        <f t="shared" si="3"/>
        <v>102</v>
      </c>
      <c r="B103" s="7" t="s">
        <v>425</v>
      </c>
      <c r="C103" s="7" t="s">
        <v>426</v>
      </c>
      <c r="D103" s="7" t="s">
        <v>49</v>
      </c>
      <c r="E103" s="7" t="s">
        <v>427</v>
      </c>
      <c r="F103" s="10" t="s">
        <v>428</v>
      </c>
      <c r="G103" s="69"/>
      <c r="H103" s="11" t="s">
        <v>80</v>
      </c>
      <c r="I103" s="11" t="s">
        <v>81</v>
      </c>
      <c r="J103" s="76" t="s">
        <v>105</v>
      </c>
      <c r="K103" s="78" t="s">
        <v>406</v>
      </c>
      <c r="L103" s="9"/>
      <c r="M103" s="24"/>
      <c r="N103" s="9" t="s">
        <v>429</v>
      </c>
      <c r="O103" s="10"/>
      <c r="P103" s="27"/>
      <c r="Q103" s="53"/>
      <c r="R103" s="19"/>
      <c r="S103" s="54"/>
      <c r="T103" s="27" t="s">
        <v>85</v>
      </c>
    </row>
    <row r="104" ht="78.75" customHeight="1" spans="1:20">
      <c r="A104" s="9">
        <f t="shared" si="3"/>
        <v>103</v>
      </c>
      <c r="B104" s="7" t="s">
        <v>425</v>
      </c>
      <c r="C104" s="7" t="s">
        <v>430</v>
      </c>
      <c r="D104" s="7" t="s">
        <v>47</v>
      </c>
      <c r="E104" s="7" t="s">
        <v>431</v>
      </c>
      <c r="F104" s="10">
        <v>43532</v>
      </c>
      <c r="G104" s="11" t="s">
        <v>322</v>
      </c>
      <c r="H104" s="11" t="s">
        <v>80</v>
      </c>
      <c r="I104" s="11" t="s">
        <v>81</v>
      </c>
      <c r="J104" s="76" t="s">
        <v>88</v>
      </c>
      <c r="K104" s="78" t="s">
        <v>406</v>
      </c>
      <c r="L104" s="9"/>
      <c r="M104" s="24" t="s">
        <v>432</v>
      </c>
      <c r="N104" s="9"/>
      <c r="O104" s="10"/>
      <c r="P104" s="27"/>
      <c r="Q104" s="53">
        <v>43493</v>
      </c>
      <c r="R104" s="19"/>
      <c r="S104" s="54"/>
      <c r="T104" s="100" t="s">
        <v>433</v>
      </c>
    </row>
    <row r="105" ht="72.75" customHeight="1" spans="1:20">
      <c r="A105" s="9">
        <f t="shared" si="3"/>
        <v>104</v>
      </c>
      <c r="B105" s="7" t="s">
        <v>425</v>
      </c>
      <c r="C105" s="7" t="s">
        <v>434</v>
      </c>
      <c r="D105" s="7" t="s">
        <v>47</v>
      </c>
      <c r="E105" s="7" t="s">
        <v>435</v>
      </c>
      <c r="F105" s="10">
        <v>43532</v>
      </c>
      <c r="G105" s="11" t="s">
        <v>322</v>
      </c>
      <c r="H105" s="11" t="s">
        <v>80</v>
      </c>
      <c r="I105" s="11" t="s">
        <v>81</v>
      </c>
      <c r="J105" s="76" t="s">
        <v>88</v>
      </c>
      <c r="K105" s="78" t="s">
        <v>406</v>
      </c>
      <c r="L105" s="9"/>
      <c r="M105" s="24" t="s">
        <v>436</v>
      </c>
      <c r="N105" s="9" t="s">
        <v>437</v>
      </c>
      <c r="O105" s="46">
        <v>43546</v>
      </c>
      <c r="P105" s="27" t="s">
        <v>438</v>
      </c>
      <c r="Q105" s="53">
        <v>43493</v>
      </c>
      <c r="R105" s="19"/>
      <c r="S105" s="54"/>
      <c r="T105" s="101" t="s">
        <v>439</v>
      </c>
    </row>
    <row r="106" ht="128.25" hidden="1" customHeight="1" spans="1:20">
      <c r="A106" s="9">
        <f t="shared" si="3"/>
        <v>105</v>
      </c>
      <c r="B106" s="7" t="s">
        <v>396</v>
      </c>
      <c r="C106" s="7" t="s">
        <v>426</v>
      </c>
      <c r="D106" s="7" t="s">
        <v>49</v>
      </c>
      <c r="E106" s="7" t="s">
        <v>440</v>
      </c>
      <c r="F106" s="10">
        <v>43532</v>
      </c>
      <c r="G106" s="69"/>
      <c r="H106" s="11" t="s">
        <v>80</v>
      </c>
      <c r="I106" s="11" t="s">
        <v>81</v>
      </c>
      <c r="J106" s="76" t="s">
        <v>105</v>
      </c>
      <c r="K106" s="78" t="s">
        <v>406</v>
      </c>
      <c r="L106" s="9"/>
      <c r="M106" s="24" t="s">
        <v>441</v>
      </c>
      <c r="N106" s="9"/>
      <c r="O106" s="10"/>
      <c r="P106" s="27" t="s">
        <v>438</v>
      </c>
      <c r="Q106" s="53"/>
      <c r="R106" s="19"/>
      <c r="S106" s="54"/>
      <c r="T106" s="27" t="s">
        <v>85</v>
      </c>
    </row>
    <row r="107" ht="81" hidden="1" customHeight="1" spans="1:20">
      <c r="A107" s="9">
        <f t="shared" si="3"/>
        <v>106</v>
      </c>
      <c r="B107" s="7" t="s">
        <v>396</v>
      </c>
      <c r="C107" s="7" t="s">
        <v>326</v>
      </c>
      <c r="D107" s="7" t="s">
        <v>49</v>
      </c>
      <c r="E107" s="7" t="s">
        <v>442</v>
      </c>
      <c r="F107" s="10">
        <v>43532</v>
      </c>
      <c r="G107" s="69"/>
      <c r="H107" s="11" t="s">
        <v>80</v>
      </c>
      <c r="I107" s="11" t="s">
        <v>81</v>
      </c>
      <c r="J107" s="76" t="s">
        <v>105</v>
      </c>
      <c r="K107" s="78" t="s">
        <v>406</v>
      </c>
      <c r="L107" s="9"/>
      <c r="M107" s="24"/>
      <c r="N107" s="9"/>
      <c r="O107" s="10"/>
      <c r="P107" s="27"/>
      <c r="Q107" s="53"/>
      <c r="R107" s="19"/>
      <c r="S107" s="54"/>
      <c r="T107" s="99"/>
    </row>
    <row r="108" ht="81" spans="1:20">
      <c r="A108" s="9">
        <f t="shared" si="3"/>
        <v>107</v>
      </c>
      <c r="B108" s="7" t="s">
        <v>396</v>
      </c>
      <c r="C108" s="7" t="s">
        <v>430</v>
      </c>
      <c r="D108" s="7" t="s">
        <v>47</v>
      </c>
      <c r="E108" s="7" t="s">
        <v>443</v>
      </c>
      <c r="F108" s="10">
        <v>43532</v>
      </c>
      <c r="G108" s="11" t="s">
        <v>322</v>
      </c>
      <c r="H108" s="11" t="s">
        <v>80</v>
      </c>
      <c r="I108" s="11" t="s">
        <v>81</v>
      </c>
      <c r="J108" s="76" t="s">
        <v>88</v>
      </c>
      <c r="K108" s="78" t="s">
        <v>406</v>
      </c>
      <c r="L108" s="9" t="s">
        <v>444</v>
      </c>
      <c r="M108" s="24" t="s">
        <v>432</v>
      </c>
      <c r="N108" s="9"/>
      <c r="O108" s="10"/>
      <c r="P108" s="27"/>
      <c r="Q108" s="53">
        <v>43493</v>
      </c>
      <c r="R108" s="19"/>
      <c r="S108" s="54"/>
      <c r="T108" s="100" t="s">
        <v>433</v>
      </c>
    </row>
    <row r="109" ht="66.75" customHeight="1" spans="1:20">
      <c r="A109" s="9">
        <f t="shared" si="3"/>
        <v>108</v>
      </c>
      <c r="B109" s="7" t="s">
        <v>396</v>
      </c>
      <c r="C109" s="7" t="s">
        <v>434</v>
      </c>
      <c r="D109" s="7" t="s">
        <v>47</v>
      </c>
      <c r="E109" s="7" t="s">
        <v>445</v>
      </c>
      <c r="F109" s="10">
        <v>43532</v>
      </c>
      <c r="G109" s="11" t="s">
        <v>322</v>
      </c>
      <c r="H109" s="11" t="s">
        <v>80</v>
      </c>
      <c r="I109" s="11" t="s">
        <v>81</v>
      </c>
      <c r="J109" s="76" t="s">
        <v>82</v>
      </c>
      <c r="K109" s="78" t="s">
        <v>406</v>
      </c>
      <c r="L109" s="9"/>
      <c r="M109" s="24" t="s">
        <v>162</v>
      </c>
      <c r="N109" s="9"/>
      <c r="O109" s="46">
        <v>43546</v>
      </c>
      <c r="P109" s="27" t="s">
        <v>438</v>
      </c>
      <c r="Q109" s="53">
        <v>43493</v>
      </c>
      <c r="R109" s="19"/>
      <c r="S109" s="54"/>
      <c r="T109" s="101" t="s">
        <v>439</v>
      </c>
    </row>
    <row r="110" ht="48" customHeight="1" spans="1:20">
      <c r="A110" s="9">
        <f t="shared" si="3"/>
        <v>109</v>
      </c>
      <c r="B110" s="7" t="s">
        <v>396</v>
      </c>
      <c r="C110" s="7" t="s">
        <v>434</v>
      </c>
      <c r="D110" s="7" t="s">
        <v>47</v>
      </c>
      <c r="E110" s="7" t="s">
        <v>446</v>
      </c>
      <c r="F110" s="10">
        <v>43532</v>
      </c>
      <c r="G110" s="11" t="s">
        <v>322</v>
      </c>
      <c r="H110" s="11" t="s">
        <v>80</v>
      </c>
      <c r="I110" s="11" t="s">
        <v>81</v>
      </c>
      <c r="J110" s="76" t="s">
        <v>88</v>
      </c>
      <c r="K110" s="78" t="s">
        <v>406</v>
      </c>
      <c r="L110" s="9"/>
      <c r="M110" s="24" t="s">
        <v>162</v>
      </c>
      <c r="N110" s="9"/>
      <c r="O110" s="46">
        <v>43546</v>
      </c>
      <c r="P110" s="27" t="s">
        <v>438</v>
      </c>
      <c r="Q110" s="53">
        <v>43493</v>
      </c>
      <c r="R110" s="19"/>
      <c r="S110" s="54"/>
      <c r="T110" s="101" t="s">
        <v>439</v>
      </c>
    </row>
    <row r="111" ht="48" customHeight="1" spans="1:20">
      <c r="A111" s="9">
        <f t="shared" si="3"/>
        <v>110</v>
      </c>
      <c r="B111" s="7" t="s">
        <v>78</v>
      </c>
      <c r="C111" s="7" t="s">
        <v>426</v>
      </c>
      <c r="D111" s="7" t="s">
        <v>47</v>
      </c>
      <c r="E111" s="7" t="s">
        <v>447</v>
      </c>
      <c r="F111" s="10">
        <v>43532</v>
      </c>
      <c r="G111" s="11" t="s">
        <v>322</v>
      </c>
      <c r="H111" s="11" t="s">
        <v>80</v>
      </c>
      <c r="I111" s="11" t="s">
        <v>81</v>
      </c>
      <c r="J111" s="76" t="s">
        <v>88</v>
      </c>
      <c r="K111" s="78" t="s">
        <v>406</v>
      </c>
      <c r="L111" s="9"/>
      <c r="M111" s="24" t="s">
        <v>448</v>
      </c>
      <c r="N111" s="9"/>
      <c r="O111" s="46">
        <v>43546</v>
      </c>
      <c r="P111" s="27" t="s">
        <v>449</v>
      </c>
      <c r="Q111" s="53">
        <v>43493</v>
      </c>
      <c r="R111" s="19"/>
      <c r="S111" s="54"/>
      <c r="T111" s="101" t="s">
        <v>439</v>
      </c>
    </row>
    <row r="112" ht="48" hidden="1" customHeight="1" spans="1:20">
      <c r="A112" s="9">
        <f t="shared" si="3"/>
        <v>111</v>
      </c>
      <c r="B112" s="7" t="s">
        <v>78</v>
      </c>
      <c r="C112" s="7" t="s">
        <v>450</v>
      </c>
      <c r="D112" s="7" t="s">
        <v>49</v>
      </c>
      <c r="E112" s="7" t="s">
        <v>451</v>
      </c>
      <c r="F112" s="10">
        <v>43535</v>
      </c>
      <c r="G112" s="11"/>
      <c r="H112" s="46" t="s">
        <v>452</v>
      </c>
      <c r="I112" s="46" t="s">
        <v>452</v>
      </c>
      <c r="J112" s="9" t="s">
        <v>105</v>
      </c>
      <c r="K112" s="10" t="str">
        <f t="shared" ref="K112" si="5">IF(F112="","",IF(F112&lt;&gt;"","问题提交",IF(O112="","问题处理中","问题关闭")))</f>
        <v>问题提交</v>
      </c>
      <c r="L112" s="9"/>
      <c r="M112" s="24"/>
      <c r="N112" s="9"/>
      <c r="O112" s="83">
        <v>43545</v>
      </c>
      <c r="P112" s="27" t="s">
        <v>453</v>
      </c>
      <c r="Q112" s="53"/>
      <c r="R112" s="94" t="s">
        <v>210</v>
      </c>
      <c r="S112" s="54"/>
      <c r="T112" s="27" t="s">
        <v>85</v>
      </c>
    </row>
    <row r="113" ht="108" hidden="1" customHeight="1" spans="1:20">
      <c r="A113" s="9">
        <f t="shared" si="3"/>
        <v>112</v>
      </c>
      <c r="B113" s="7" t="s">
        <v>78</v>
      </c>
      <c r="C113" s="7" t="s">
        <v>450</v>
      </c>
      <c r="D113" s="7" t="s">
        <v>47</v>
      </c>
      <c r="E113" s="70" t="s">
        <v>454</v>
      </c>
      <c r="F113" s="10">
        <v>43535</v>
      </c>
      <c r="G113" s="11">
        <v>43546</v>
      </c>
      <c r="H113" s="46" t="s">
        <v>452</v>
      </c>
      <c r="I113" s="46" t="s">
        <v>452</v>
      </c>
      <c r="J113" s="9" t="s">
        <v>105</v>
      </c>
      <c r="K113" s="10" t="str">
        <f t="shared" ref="K113:K114" si="6">IF(F113="","",IF(F113&lt;&gt;"","问题提交",IF(O113="","问题处理中","问题关闭")))</f>
        <v>问题提交</v>
      </c>
      <c r="L113" s="9"/>
      <c r="M113" s="24" t="s">
        <v>455</v>
      </c>
      <c r="N113" s="9"/>
      <c r="O113" s="83">
        <v>43545</v>
      </c>
      <c r="P113" s="27" t="s">
        <v>453</v>
      </c>
      <c r="Q113" s="53"/>
      <c r="R113" s="94" t="s">
        <v>210</v>
      </c>
      <c r="S113" s="54"/>
      <c r="T113" s="27"/>
    </row>
    <row r="114" ht="75" hidden="1" customHeight="1" spans="1:20">
      <c r="A114" s="9">
        <f t="shared" si="3"/>
        <v>113</v>
      </c>
      <c r="B114" s="7" t="s">
        <v>78</v>
      </c>
      <c r="C114" s="7" t="s">
        <v>450</v>
      </c>
      <c r="D114" s="7" t="s">
        <v>49</v>
      </c>
      <c r="E114" s="7" t="s">
        <v>456</v>
      </c>
      <c r="F114" s="10">
        <v>43535</v>
      </c>
      <c r="G114" s="11"/>
      <c r="H114" s="46" t="s">
        <v>452</v>
      </c>
      <c r="I114" s="46" t="s">
        <v>452</v>
      </c>
      <c r="J114" s="9" t="s">
        <v>105</v>
      </c>
      <c r="K114" s="10" t="str">
        <f t="shared" si="6"/>
        <v>问题提交</v>
      </c>
      <c r="L114" s="9"/>
      <c r="M114" s="24"/>
      <c r="N114" s="9"/>
      <c r="O114" s="26"/>
      <c r="P114" s="27" t="s">
        <v>453</v>
      </c>
      <c r="Q114" s="53"/>
      <c r="R114" s="27"/>
      <c r="S114" s="54"/>
      <c r="T114" s="27" t="s">
        <v>85</v>
      </c>
    </row>
    <row r="115" ht="68.25" hidden="1" customHeight="1" spans="1:20">
      <c r="A115" s="71">
        <f t="shared" si="3"/>
        <v>114</v>
      </c>
      <c r="B115" s="7" t="s">
        <v>396</v>
      </c>
      <c r="C115" s="7" t="s">
        <v>457</v>
      </c>
      <c r="D115" s="7" t="s">
        <v>47</v>
      </c>
      <c r="E115" s="7" t="s">
        <v>458</v>
      </c>
      <c r="F115" s="10">
        <v>43536</v>
      </c>
      <c r="G115" s="11">
        <v>43546</v>
      </c>
      <c r="H115" s="46" t="s">
        <v>452</v>
      </c>
      <c r="I115" s="46" t="s">
        <v>452</v>
      </c>
      <c r="J115" s="9" t="s">
        <v>105</v>
      </c>
      <c r="K115" s="10" t="str">
        <f t="shared" ref="K115:K116" si="7">IF(F115="","",IF(F115&lt;&gt;"","问题提交",IF(O115="","问题处理中","问题关闭")))</f>
        <v>问题提交</v>
      </c>
      <c r="L115" s="9" t="s">
        <v>459</v>
      </c>
      <c r="M115" s="24" t="s">
        <v>460</v>
      </c>
      <c r="N115" s="9" t="s">
        <v>461</v>
      </c>
      <c r="O115" s="83">
        <v>43545</v>
      </c>
      <c r="P115" s="27" t="s">
        <v>453</v>
      </c>
      <c r="Q115" s="53"/>
      <c r="R115" s="102" t="s">
        <v>462</v>
      </c>
      <c r="S115" s="54"/>
      <c r="T115" s="27"/>
    </row>
    <row r="116" ht="40.5" hidden="1" spans="1:20">
      <c r="A116" s="9">
        <f t="shared" si="3"/>
        <v>115</v>
      </c>
      <c r="B116" s="7" t="s">
        <v>396</v>
      </c>
      <c r="C116" s="7" t="s">
        <v>463</v>
      </c>
      <c r="D116" s="7" t="s">
        <v>47</v>
      </c>
      <c r="E116" s="7" t="s">
        <v>464</v>
      </c>
      <c r="F116" s="10">
        <v>43536</v>
      </c>
      <c r="G116" s="11">
        <v>43545</v>
      </c>
      <c r="H116" s="46" t="s">
        <v>452</v>
      </c>
      <c r="I116" s="46" t="s">
        <v>452</v>
      </c>
      <c r="J116" s="9" t="s">
        <v>88</v>
      </c>
      <c r="K116" s="10" t="str">
        <f t="shared" si="7"/>
        <v>问题提交</v>
      </c>
      <c r="L116" s="9" t="s">
        <v>465</v>
      </c>
      <c r="M116" s="24" t="s">
        <v>466</v>
      </c>
      <c r="N116" s="9" t="s">
        <v>467</v>
      </c>
      <c r="O116" s="83">
        <v>43545</v>
      </c>
      <c r="P116" s="27" t="s">
        <v>468</v>
      </c>
      <c r="Q116" s="53"/>
      <c r="R116" s="102" t="s">
        <v>210</v>
      </c>
      <c r="S116" s="54"/>
      <c r="T116" s="27"/>
    </row>
    <row r="117" ht="27" hidden="1" customHeight="1" spans="1:20">
      <c r="A117" s="9">
        <f t="shared" si="3"/>
        <v>116</v>
      </c>
      <c r="B117" s="12" t="s">
        <v>78</v>
      </c>
      <c r="C117" s="12" t="s">
        <v>457</v>
      </c>
      <c r="D117" s="12" t="s">
        <v>48</v>
      </c>
      <c r="E117" s="12" t="s">
        <v>469</v>
      </c>
      <c r="F117" s="10">
        <v>43536</v>
      </c>
      <c r="G117" s="11">
        <v>43543</v>
      </c>
      <c r="H117" s="46" t="s">
        <v>452</v>
      </c>
      <c r="I117" s="46" t="s">
        <v>452</v>
      </c>
      <c r="J117" s="9" t="s">
        <v>82</v>
      </c>
      <c r="K117" s="10" t="s">
        <v>406</v>
      </c>
      <c r="L117" s="9" t="s">
        <v>470</v>
      </c>
      <c r="M117" s="24"/>
      <c r="N117" s="9" t="s">
        <v>471</v>
      </c>
      <c r="O117" s="83">
        <v>43545</v>
      </c>
      <c r="P117" s="27" t="s">
        <v>453</v>
      </c>
      <c r="Q117" s="53"/>
      <c r="R117" s="102" t="s">
        <v>210</v>
      </c>
      <c r="S117" s="54"/>
      <c r="T117" s="27" t="s">
        <v>85</v>
      </c>
    </row>
    <row r="118" ht="81" hidden="1" spans="1:20">
      <c r="A118" s="9">
        <f t="shared" si="3"/>
        <v>117</v>
      </c>
      <c r="B118" s="12" t="s">
        <v>78</v>
      </c>
      <c r="C118" s="12" t="s">
        <v>457</v>
      </c>
      <c r="D118" s="12" t="s">
        <v>49</v>
      </c>
      <c r="E118" s="12" t="s">
        <v>472</v>
      </c>
      <c r="F118" s="10">
        <v>43536</v>
      </c>
      <c r="G118" s="11"/>
      <c r="H118" s="46" t="s">
        <v>452</v>
      </c>
      <c r="I118" s="46" t="s">
        <v>452</v>
      </c>
      <c r="J118" s="12" t="s">
        <v>105</v>
      </c>
      <c r="K118" s="10" t="s">
        <v>406</v>
      </c>
      <c r="L118" s="12" t="s">
        <v>473</v>
      </c>
      <c r="M118" s="12"/>
      <c r="N118" s="12" t="s">
        <v>474</v>
      </c>
      <c r="O118" s="26"/>
      <c r="P118" s="27" t="s">
        <v>453</v>
      </c>
      <c r="Q118" s="53"/>
      <c r="R118" s="27"/>
      <c r="S118" s="54"/>
      <c r="T118" s="27" t="s">
        <v>85</v>
      </c>
    </row>
    <row r="119" ht="67.5" hidden="1" spans="1:20">
      <c r="A119" s="9">
        <f t="shared" si="3"/>
        <v>118</v>
      </c>
      <c r="B119" s="12" t="s">
        <v>78</v>
      </c>
      <c r="C119" s="12" t="s">
        <v>457</v>
      </c>
      <c r="D119" s="12" t="s">
        <v>49</v>
      </c>
      <c r="E119" s="12" t="s">
        <v>475</v>
      </c>
      <c r="F119" s="10">
        <v>43536</v>
      </c>
      <c r="G119" s="11"/>
      <c r="H119" s="46" t="s">
        <v>452</v>
      </c>
      <c r="I119" s="46" t="s">
        <v>452</v>
      </c>
      <c r="J119" s="9" t="s">
        <v>105</v>
      </c>
      <c r="K119" s="10" t="s">
        <v>406</v>
      </c>
      <c r="L119" s="9" t="s">
        <v>476</v>
      </c>
      <c r="M119" s="24"/>
      <c r="N119" s="12" t="s">
        <v>477</v>
      </c>
      <c r="O119" s="26"/>
      <c r="P119" s="27" t="s">
        <v>453</v>
      </c>
      <c r="Q119" s="53"/>
      <c r="R119" s="27"/>
      <c r="S119" s="54"/>
      <c r="T119" s="27" t="s">
        <v>478</v>
      </c>
    </row>
    <row r="120" ht="67.5" hidden="1" spans="1:20">
      <c r="A120" s="9">
        <f t="shared" si="3"/>
        <v>119</v>
      </c>
      <c r="B120" s="12" t="s">
        <v>78</v>
      </c>
      <c r="C120" s="12" t="s">
        <v>457</v>
      </c>
      <c r="D120" s="12" t="s">
        <v>49</v>
      </c>
      <c r="E120" s="12" t="s">
        <v>479</v>
      </c>
      <c r="F120" s="10">
        <v>43536</v>
      </c>
      <c r="G120" s="11"/>
      <c r="H120" s="46" t="s">
        <v>452</v>
      </c>
      <c r="I120" s="46" t="s">
        <v>452</v>
      </c>
      <c r="J120" s="9" t="s">
        <v>105</v>
      </c>
      <c r="K120" s="10" t="s">
        <v>406</v>
      </c>
      <c r="L120" s="9" t="s">
        <v>480</v>
      </c>
      <c r="M120" s="24"/>
      <c r="N120" s="9" t="s">
        <v>481</v>
      </c>
      <c r="O120" s="26"/>
      <c r="P120" s="27" t="s">
        <v>453</v>
      </c>
      <c r="Q120" s="53"/>
      <c r="R120" s="27"/>
      <c r="S120" s="54"/>
      <c r="T120" s="27" t="s">
        <v>85</v>
      </c>
    </row>
    <row r="121" ht="27" hidden="1" spans="1:20">
      <c r="A121" s="9">
        <f t="shared" si="3"/>
        <v>120</v>
      </c>
      <c r="B121" s="7" t="s">
        <v>155</v>
      </c>
      <c r="C121" s="12" t="s">
        <v>457</v>
      </c>
      <c r="D121" s="7" t="s">
        <v>48</v>
      </c>
      <c r="E121" s="7" t="s">
        <v>482</v>
      </c>
      <c r="F121" s="10">
        <v>43536</v>
      </c>
      <c r="G121" s="11">
        <v>43550</v>
      </c>
      <c r="H121" s="46" t="s">
        <v>452</v>
      </c>
      <c r="I121" s="46" t="s">
        <v>452</v>
      </c>
      <c r="J121" s="76" t="s">
        <v>105</v>
      </c>
      <c r="K121" s="78" t="s">
        <v>406</v>
      </c>
      <c r="L121" s="9" t="s">
        <v>483</v>
      </c>
      <c r="M121" s="24"/>
      <c r="N121" s="9" t="s">
        <v>484</v>
      </c>
      <c r="O121" s="10"/>
      <c r="P121" s="27" t="s">
        <v>453</v>
      </c>
      <c r="Q121" s="53"/>
      <c r="R121" s="19"/>
      <c r="S121" s="54"/>
      <c r="T121" s="27" t="s">
        <v>85</v>
      </c>
    </row>
    <row r="122" ht="44.25" hidden="1" customHeight="1" spans="1:20">
      <c r="A122" s="9">
        <f t="shared" si="3"/>
        <v>121</v>
      </c>
      <c r="B122" s="7" t="s">
        <v>155</v>
      </c>
      <c r="C122" s="12" t="s">
        <v>457</v>
      </c>
      <c r="D122" s="7" t="s">
        <v>47</v>
      </c>
      <c r="E122" s="7" t="s">
        <v>485</v>
      </c>
      <c r="F122" s="10">
        <v>43536</v>
      </c>
      <c r="G122" s="11">
        <v>43546</v>
      </c>
      <c r="H122" s="46" t="s">
        <v>452</v>
      </c>
      <c r="I122" s="46" t="s">
        <v>452</v>
      </c>
      <c r="J122" s="76" t="s">
        <v>88</v>
      </c>
      <c r="K122" s="78" t="s">
        <v>406</v>
      </c>
      <c r="L122" s="9" t="s">
        <v>486</v>
      </c>
      <c r="M122" s="24" t="s">
        <v>455</v>
      </c>
      <c r="N122" s="9"/>
      <c r="O122" s="10"/>
      <c r="P122" s="27" t="s">
        <v>453</v>
      </c>
      <c r="Q122" s="53"/>
      <c r="R122" s="19"/>
      <c r="S122" s="54"/>
      <c r="T122" s="27"/>
    </row>
    <row r="123" ht="40.5" hidden="1" spans="1:20">
      <c r="A123" s="9">
        <f t="shared" si="3"/>
        <v>122</v>
      </c>
      <c r="B123" s="7" t="s">
        <v>155</v>
      </c>
      <c r="C123" s="12" t="s">
        <v>457</v>
      </c>
      <c r="D123" s="7" t="s">
        <v>47</v>
      </c>
      <c r="E123" s="7" t="s">
        <v>487</v>
      </c>
      <c r="F123" s="10">
        <v>43536</v>
      </c>
      <c r="G123" s="11">
        <v>43544</v>
      </c>
      <c r="H123" s="46" t="s">
        <v>452</v>
      </c>
      <c r="I123" s="46" t="s">
        <v>452</v>
      </c>
      <c r="J123" s="76" t="s">
        <v>88</v>
      </c>
      <c r="K123" s="78" t="s">
        <v>406</v>
      </c>
      <c r="L123" s="9" t="s">
        <v>488</v>
      </c>
      <c r="M123" s="24" t="s">
        <v>455</v>
      </c>
      <c r="N123" s="9" t="s">
        <v>489</v>
      </c>
      <c r="O123" s="83">
        <v>43545</v>
      </c>
      <c r="P123" s="27" t="s">
        <v>453</v>
      </c>
      <c r="Q123" s="53"/>
      <c r="R123" s="24" t="s">
        <v>210</v>
      </c>
      <c r="S123" s="54"/>
      <c r="T123" s="27"/>
    </row>
    <row r="124" ht="32.25" hidden="1" customHeight="1" spans="1:20">
      <c r="A124" s="9">
        <f t="shared" si="3"/>
        <v>123</v>
      </c>
      <c r="B124" s="7" t="s">
        <v>155</v>
      </c>
      <c r="C124" s="7" t="s">
        <v>490</v>
      </c>
      <c r="D124" s="7" t="s">
        <v>47</v>
      </c>
      <c r="E124" s="7" t="s">
        <v>491</v>
      </c>
      <c r="F124" s="10">
        <v>43536</v>
      </c>
      <c r="G124" s="11">
        <v>43543</v>
      </c>
      <c r="H124" s="46" t="s">
        <v>452</v>
      </c>
      <c r="I124" s="46" t="s">
        <v>452</v>
      </c>
      <c r="J124" s="76" t="s">
        <v>88</v>
      </c>
      <c r="K124" s="78" t="s">
        <v>406</v>
      </c>
      <c r="L124" s="9" t="s">
        <v>492</v>
      </c>
      <c r="M124" s="24" t="s">
        <v>493</v>
      </c>
      <c r="N124" s="9" t="s">
        <v>494</v>
      </c>
      <c r="O124" s="83">
        <v>43545</v>
      </c>
      <c r="P124" s="27" t="s">
        <v>495</v>
      </c>
      <c r="Q124" s="53"/>
      <c r="R124" s="24" t="s">
        <v>210</v>
      </c>
      <c r="S124" s="54"/>
      <c r="T124" s="27"/>
    </row>
    <row r="125" ht="51" hidden="1" customHeight="1" spans="1:20">
      <c r="A125" s="9">
        <f t="shared" si="3"/>
        <v>124</v>
      </c>
      <c r="B125" s="7" t="s">
        <v>155</v>
      </c>
      <c r="C125" s="12" t="s">
        <v>457</v>
      </c>
      <c r="D125" s="7" t="s">
        <v>49</v>
      </c>
      <c r="E125" s="7" t="s">
        <v>496</v>
      </c>
      <c r="F125" s="10">
        <v>43536</v>
      </c>
      <c r="G125" s="11"/>
      <c r="H125" s="46" t="s">
        <v>452</v>
      </c>
      <c r="I125" s="46" t="s">
        <v>452</v>
      </c>
      <c r="J125" s="76" t="s">
        <v>105</v>
      </c>
      <c r="K125" s="78" t="s">
        <v>406</v>
      </c>
      <c r="L125" s="9" t="s">
        <v>497</v>
      </c>
      <c r="M125" s="24"/>
      <c r="N125" s="9" t="s">
        <v>494</v>
      </c>
      <c r="O125" s="10"/>
      <c r="P125" s="27" t="s">
        <v>453</v>
      </c>
      <c r="Q125" s="53"/>
      <c r="R125" s="19"/>
      <c r="S125" s="54"/>
      <c r="T125" s="27" t="s">
        <v>85</v>
      </c>
    </row>
    <row r="126" ht="27" hidden="1" spans="1:20">
      <c r="A126" s="9">
        <f t="shared" si="3"/>
        <v>125</v>
      </c>
      <c r="B126" s="72" t="s">
        <v>155</v>
      </c>
      <c r="C126" s="70" t="s">
        <v>498</v>
      </c>
      <c r="D126" s="70" t="s">
        <v>47</v>
      </c>
      <c r="E126" s="70" t="s">
        <v>499</v>
      </c>
      <c r="F126" s="73">
        <v>43537</v>
      </c>
      <c r="G126" s="11">
        <v>43544</v>
      </c>
      <c r="H126" s="46" t="s">
        <v>452</v>
      </c>
      <c r="I126" s="46" t="s">
        <v>81</v>
      </c>
      <c r="J126" s="88" t="s">
        <v>88</v>
      </c>
      <c r="K126" s="89" t="s">
        <v>406</v>
      </c>
      <c r="L126" s="88" t="s">
        <v>500</v>
      </c>
      <c r="M126" s="90" t="s">
        <v>455</v>
      </c>
      <c r="N126" s="88" t="s">
        <v>501</v>
      </c>
      <c r="O126" s="83">
        <v>43546</v>
      </c>
      <c r="P126" s="91" t="s">
        <v>502</v>
      </c>
      <c r="Q126" s="103"/>
      <c r="R126" s="90" t="s">
        <v>210</v>
      </c>
      <c r="S126" s="104"/>
      <c r="T126" s="27"/>
    </row>
    <row r="127" ht="67.5" hidden="1" spans="1:20">
      <c r="A127" s="9">
        <f t="shared" si="3"/>
        <v>126</v>
      </c>
      <c r="B127" s="72" t="s">
        <v>155</v>
      </c>
      <c r="C127" s="70" t="s">
        <v>498</v>
      </c>
      <c r="D127" s="70" t="s">
        <v>47</v>
      </c>
      <c r="E127" s="70" t="s">
        <v>503</v>
      </c>
      <c r="F127" s="73">
        <v>43537</v>
      </c>
      <c r="G127" s="11">
        <v>43544</v>
      </c>
      <c r="H127" s="46" t="s">
        <v>452</v>
      </c>
      <c r="I127" s="46" t="s">
        <v>81</v>
      </c>
      <c r="J127" s="88" t="s">
        <v>88</v>
      </c>
      <c r="K127" s="89" t="s">
        <v>406</v>
      </c>
      <c r="L127" s="88" t="s">
        <v>504</v>
      </c>
      <c r="M127" s="90" t="s">
        <v>455</v>
      </c>
      <c r="N127" s="88" t="s">
        <v>505</v>
      </c>
      <c r="O127" s="83">
        <v>43546</v>
      </c>
      <c r="P127" s="91" t="s">
        <v>502</v>
      </c>
      <c r="Q127" s="103"/>
      <c r="R127" s="90" t="s">
        <v>210</v>
      </c>
      <c r="S127" s="104"/>
      <c r="T127" s="27"/>
    </row>
    <row r="128" ht="27" hidden="1" spans="1:20">
      <c r="A128" s="9">
        <f t="shared" si="3"/>
        <v>127</v>
      </c>
      <c r="B128" s="72" t="s">
        <v>155</v>
      </c>
      <c r="C128" s="70" t="s">
        <v>506</v>
      </c>
      <c r="D128" s="70" t="s">
        <v>47</v>
      </c>
      <c r="E128" s="70" t="s">
        <v>507</v>
      </c>
      <c r="F128" s="73">
        <v>43537</v>
      </c>
      <c r="G128" s="11">
        <v>43544</v>
      </c>
      <c r="H128" s="46" t="s">
        <v>452</v>
      </c>
      <c r="I128" s="46" t="s">
        <v>81</v>
      </c>
      <c r="J128" s="88" t="s">
        <v>88</v>
      </c>
      <c r="K128" s="89" t="s">
        <v>406</v>
      </c>
      <c r="L128" s="88" t="s">
        <v>508</v>
      </c>
      <c r="M128" s="90" t="s">
        <v>493</v>
      </c>
      <c r="N128" s="88" t="s">
        <v>509</v>
      </c>
      <c r="O128" s="83">
        <v>43546</v>
      </c>
      <c r="P128" s="91" t="s">
        <v>495</v>
      </c>
      <c r="Q128" s="103"/>
      <c r="R128" s="90" t="s">
        <v>210</v>
      </c>
      <c r="S128" s="104"/>
      <c r="T128" s="27"/>
    </row>
    <row r="129" ht="54" hidden="1" spans="1:20">
      <c r="A129" s="9">
        <f t="shared" si="3"/>
        <v>128</v>
      </c>
      <c r="B129" s="72" t="s">
        <v>155</v>
      </c>
      <c r="C129" s="70" t="s">
        <v>498</v>
      </c>
      <c r="D129" s="70" t="s">
        <v>47</v>
      </c>
      <c r="E129" s="70" t="s">
        <v>510</v>
      </c>
      <c r="F129" s="73">
        <v>43537</v>
      </c>
      <c r="G129" s="11">
        <v>43544</v>
      </c>
      <c r="H129" s="46" t="s">
        <v>452</v>
      </c>
      <c r="I129" s="46" t="s">
        <v>81</v>
      </c>
      <c r="J129" s="88" t="s">
        <v>88</v>
      </c>
      <c r="K129" s="89" t="s">
        <v>406</v>
      </c>
      <c r="L129" s="88" t="s">
        <v>511</v>
      </c>
      <c r="M129" s="90" t="s">
        <v>455</v>
      </c>
      <c r="N129" s="88" t="s">
        <v>512</v>
      </c>
      <c r="O129" s="83">
        <v>43546</v>
      </c>
      <c r="P129" s="91" t="s">
        <v>502</v>
      </c>
      <c r="Q129" s="103"/>
      <c r="R129" s="90" t="s">
        <v>210</v>
      </c>
      <c r="S129" s="104"/>
      <c r="T129" s="27"/>
    </row>
    <row r="130" ht="81" hidden="1" spans="1:20">
      <c r="A130" s="9">
        <f t="shared" si="3"/>
        <v>129</v>
      </c>
      <c r="B130" s="72" t="s">
        <v>155</v>
      </c>
      <c r="C130" s="70" t="s">
        <v>513</v>
      </c>
      <c r="D130" s="70" t="s">
        <v>47</v>
      </c>
      <c r="E130" s="70" t="s">
        <v>514</v>
      </c>
      <c r="F130" s="73">
        <v>43537</v>
      </c>
      <c r="G130" s="11">
        <v>43544</v>
      </c>
      <c r="H130" s="46" t="s">
        <v>452</v>
      </c>
      <c r="I130" s="46" t="s">
        <v>81</v>
      </c>
      <c r="J130" s="88" t="s">
        <v>88</v>
      </c>
      <c r="K130" s="89" t="s">
        <v>406</v>
      </c>
      <c r="L130" s="88" t="s">
        <v>515</v>
      </c>
      <c r="M130" s="90"/>
      <c r="N130" s="88" t="s">
        <v>516</v>
      </c>
      <c r="O130" s="83">
        <v>43546</v>
      </c>
      <c r="P130" s="91" t="s">
        <v>495</v>
      </c>
      <c r="Q130" s="103"/>
      <c r="R130" s="90" t="s">
        <v>210</v>
      </c>
      <c r="S130" s="104"/>
      <c r="T130" s="27"/>
    </row>
    <row r="131" ht="54" hidden="1" spans="1:20">
      <c r="A131" s="9">
        <f t="shared" ref="A131:A194" si="8">ROW()-1</f>
        <v>130</v>
      </c>
      <c r="B131" s="72" t="s">
        <v>396</v>
      </c>
      <c r="C131" s="70" t="s">
        <v>517</v>
      </c>
      <c r="D131" s="70" t="s">
        <v>49</v>
      </c>
      <c r="E131" s="70" t="s">
        <v>518</v>
      </c>
      <c r="F131" s="73">
        <v>43537</v>
      </c>
      <c r="G131" s="11"/>
      <c r="H131" s="46" t="s">
        <v>452</v>
      </c>
      <c r="I131" s="46" t="s">
        <v>81</v>
      </c>
      <c r="J131" s="109" t="s">
        <v>82</v>
      </c>
      <c r="K131" s="89" t="s">
        <v>406</v>
      </c>
      <c r="L131" s="88" t="s">
        <v>519</v>
      </c>
      <c r="M131" s="90" t="s">
        <v>520</v>
      </c>
      <c r="N131" s="88" t="s">
        <v>521</v>
      </c>
      <c r="O131" s="110"/>
      <c r="P131" s="91" t="s">
        <v>522</v>
      </c>
      <c r="Q131" s="103"/>
      <c r="R131" s="113"/>
      <c r="S131" s="104"/>
      <c r="T131" s="27" t="s">
        <v>111</v>
      </c>
    </row>
    <row r="132" s="1" customFormat="1" ht="52.5" hidden="1" customHeight="1" spans="1:20">
      <c r="A132" s="9">
        <f t="shared" si="8"/>
        <v>131</v>
      </c>
      <c r="B132" s="105" t="s">
        <v>78</v>
      </c>
      <c r="C132" s="105" t="s">
        <v>523</v>
      </c>
      <c r="D132" s="105" t="s">
        <v>49</v>
      </c>
      <c r="E132" s="105" t="s">
        <v>524</v>
      </c>
      <c r="F132" s="106">
        <v>43537</v>
      </c>
      <c r="G132" s="11"/>
      <c r="H132" s="46" t="s">
        <v>452</v>
      </c>
      <c r="I132" s="46" t="s">
        <v>81</v>
      </c>
      <c r="J132" s="109" t="s">
        <v>105</v>
      </c>
      <c r="K132" s="89" t="s">
        <v>406</v>
      </c>
      <c r="L132" s="88" t="s">
        <v>525</v>
      </c>
      <c r="M132" s="90"/>
      <c r="N132" s="88" t="s">
        <v>526</v>
      </c>
      <c r="O132" s="110"/>
      <c r="P132" s="91" t="s">
        <v>453</v>
      </c>
      <c r="Q132" s="103"/>
      <c r="R132" s="113"/>
      <c r="S132" s="104"/>
      <c r="T132" s="27" t="s">
        <v>85</v>
      </c>
    </row>
    <row r="133" s="1" customFormat="1" ht="90" hidden="1" customHeight="1" spans="1:20">
      <c r="A133" s="9">
        <f t="shared" si="8"/>
        <v>132</v>
      </c>
      <c r="B133" s="105" t="s">
        <v>78</v>
      </c>
      <c r="C133" s="105" t="s">
        <v>527</v>
      </c>
      <c r="D133" s="105" t="s">
        <v>49</v>
      </c>
      <c r="E133" s="105" t="s">
        <v>528</v>
      </c>
      <c r="F133" s="106">
        <v>43537</v>
      </c>
      <c r="G133" s="11"/>
      <c r="H133" s="46" t="s">
        <v>452</v>
      </c>
      <c r="I133" s="46" t="s">
        <v>81</v>
      </c>
      <c r="J133" s="109" t="s">
        <v>105</v>
      </c>
      <c r="K133" s="89" t="s">
        <v>406</v>
      </c>
      <c r="L133" s="88" t="s">
        <v>529</v>
      </c>
      <c r="M133" s="90"/>
      <c r="N133" s="88" t="s">
        <v>530</v>
      </c>
      <c r="O133" s="110"/>
      <c r="P133" s="91" t="s">
        <v>502</v>
      </c>
      <c r="Q133" s="103"/>
      <c r="R133" s="113"/>
      <c r="S133" s="104"/>
      <c r="T133" s="27" t="s">
        <v>85</v>
      </c>
    </row>
    <row r="134" s="1" customFormat="1" ht="40.5" hidden="1" spans="1:20">
      <c r="A134" s="9">
        <f t="shared" si="8"/>
        <v>133</v>
      </c>
      <c r="B134" s="105" t="s">
        <v>78</v>
      </c>
      <c r="C134" s="105" t="s">
        <v>527</v>
      </c>
      <c r="D134" s="105" t="s">
        <v>49</v>
      </c>
      <c r="E134" s="105" t="s">
        <v>531</v>
      </c>
      <c r="F134" s="106">
        <v>43537</v>
      </c>
      <c r="G134" s="11"/>
      <c r="H134" s="46" t="s">
        <v>452</v>
      </c>
      <c r="I134" s="46" t="s">
        <v>81</v>
      </c>
      <c r="J134" s="109" t="s">
        <v>105</v>
      </c>
      <c r="K134" s="89" t="s">
        <v>406</v>
      </c>
      <c r="L134" s="88" t="s">
        <v>532</v>
      </c>
      <c r="M134" s="90"/>
      <c r="N134" s="88" t="s">
        <v>533</v>
      </c>
      <c r="O134" s="83">
        <v>43549</v>
      </c>
      <c r="P134" s="91" t="s">
        <v>502</v>
      </c>
      <c r="Q134" s="103"/>
      <c r="R134" s="90" t="s">
        <v>210</v>
      </c>
      <c r="S134" s="104"/>
      <c r="T134" s="27" t="s">
        <v>85</v>
      </c>
    </row>
    <row r="135" s="1" customFormat="1" ht="54" hidden="1" spans="1:20">
      <c r="A135" s="9">
        <f t="shared" si="8"/>
        <v>134</v>
      </c>
      <c r="B135" s="105" t="s">
        <v>78</v>
      </c>
      <c r="C135" s="105" t="s">
        <v>527</v>
      </c>
      <c r="D135" s="105" t="s">
        <v>47</v>
      </c>
      <c r="E135" s="105" t="s">
        <v>534</v>
      </c>
      <c r="F135" s="106">
        <v>43537</v>
      </c>
      <c r="G135" s="11">
        <v>43544</v>
      </c>
      <c r="H135" s="46" t="s">
        <v>452</v>
      </c>
      <c r="I135" s="46" t="s">
        <v>81</v>
      </c>
      <c r="J135" s="109" t="s">
        <v>88</v>
      </c>
      <c r="K135" s="89" t="s">
        <v>406</v>
      </c>
      <c r="L135" s="88" t="s">
        <v>535</v>
      </c>
      <c r="M135" s="90" t="s">
        <v>536</v>
      </c>
      <c r="N135" s="88" t="s">
        <v>537</v>
      </c>
      <c r="O135" s="83">
        <v>43549</v>
      </c>
      <c r="P135" s="91" t="s">
        <v>502</v>
      </c>
      <c r="Q135" s="103"/>
      <c r="R135" s="90" t="s">
        <v>210</v>
      </c>
      <c r="S135" s="104"/>
      <c r="T135" s="27"/>
    </row>
    <row r="136" s="1" customFormat="1" ht="40.5" hidden="1" spans="1:20">
      <c r="A136" s="9">
        <f t="shared" si="8"/>
        <v>135</v>
      </c>
      <c r="B136" s="105" t="s">
        <v>78</v>
      </c>
      <c r="C136" s="105" t="s">
        <v>527</v>
      </c>
      <c r="D136" s="105" t="s">
        <v>49</v>
      </c>
      <c r="E136" s="105" t="s">
        <v>538</v>
      </c>
      <c r="F136" s="106">
        <v>43537</v>
      </c>
      <c r="G136" s="11"/>
      <c r="H136" s="46" t="s">
        <v>452</v>
      </c>
      <c r="I136" s="46" t="s">
        <v>81</v>
      </c>
      <c r="J136" s="109" t="s">
        <v>105</v>
      </c>
      <c r="K136" s="89" t="s">
        <v>406</v>
      </c>
      <c r="L136" s="88" t="s">
        <v>539</v>
      </c>
      <c r="M136" s="90"/>
      <c r="N136" s="88" t="s">
        <v>540</v>
      </c>
      <c r="O136" s="110"/>
      <c r="P136" s="91" t="s">
        <v>502</v>
      </c>
      <c r="Q136" s="103"/>
      <c r="R136" s="113"/>
      <c r="S136" s="104"/>
      <c r="T136" s="27" t="s">
        <v>111</v>
      </c>
    </row>
    <row r="137" s="1" customFormat="1" ht="40.5" hidden="1" spans="1:20">
      <c r="A137" s="9">
        <f t="shared" si="8"/>
        <v>136</v>
      </c>
      <c r="B137" s="105" t="s">
        <v>78</v>
      </c>
      <c r="C137" s="105" t="s">
        <v>541</v>
      </c>
      <c r="D137" s="105" t="s">
        <v>49</v>
      </c>
      <c r="E137" s="105" t="s">
        <v>542</v>
      </c>
      <c r="F137" s="106">
        <v>43537</v>
      </c>
      <c r="G137" s="11"/>
      <c r="H137" s="46" t="s">
        <v>452</v>
      </c>
      <c r="I137" s="46" t="s">
        <v>81</v>
      </c>
      <c r="J137" s="109" t="s">
        <v>88</v>
      </c>
      <c r="K137" s="89" t="s">
        <v>406</v>
      </c>
      <c r="L137" s="88" t="s">
        <v>543</v>
      </c>
      <c r="M137" s="90"/>
      <c r="N137" s="88" t="s">
        <v>544</v>
      </c>
      <c r="O137" s="110"/>
      <c r="P137" s="91" t="s">
        <v>468</v>
      </c>
      <c r="Q137" s="103"/>
      <c r="R137" s="113"/>
      <c r="S137" s="104"/>
      <c r="T137" s="27" t="s">
        <v>111</v>
      </c>
    </row>
    <row r="138" s="1" customFormat="1" ht="117.75" hidden="1" customHeight="1" spans="1:20">
      <c r="A138" s="9">
        <f t="shared" si="8"/>
        <v>137</v>
      </c>
      <c r="B138" s="105" t="s">
        <v>78</v>
      </c>
      <c r="C138" s="105" t="s">
        <v>527</v>
      </c>
      <c r="D138" s="105" t="s">
        <v>49</v>
      </c>
      <c r="E138" s="105" t="s">
        <v>545</v>
      </c>
      <c r="F138" s="106">
        <v>43537</v>
      </c>
      <c r="G138" s="11"/>
      <c r="H138" s="46" t="s">
        <v>452</v>
      </c>
      <c r="I138" s="46" t="s">
        <v>81</v>
      </c>
      <c r="J138" s="109" t="s">
        <v>105</v>
      </c>
      <c r="K138" s="89" t="s">
        <v>406</v>
      </c>
      <c r="L138" s="111" t="s">
        <v>546</v>
      </c>
      <c r="M138" s="90"/>
      <c r="N138" s="88" t="s">
        <v>547</v>
      </c>
      <c r="O138" s="110"/>
      <c r="P138" s="91" t="s">
        <v>502</v>
      </c>
      <c r="Q138" s="103"/>
      <c r="R138" s="113"/>
      <c r="S138" s="104"/>
      <c r="T138" s="27" t="s">
        <v>85</v>
      </c>
    </row>
    <row r="139" s="1" customFormat="1" ht="135" hidden="1" spans="1:20">
      <c r="A139" s="9">
        <f t="shared" si="8"/>
        <v>138</v>
      </c>
      <c r="B139" s="105" t="s">
        <v>78</v>
      </c>
      <c r="C139" s="70" t="s">
        <v>548</v>
      </c>
      <c r="D139" s="70" t="s">
        <v>49</v>
      </c>
      <c r="E139" s="70" t="s">
        <v>549</v>
      </c>
      <c r="F139" s="106">
        <v>43537</v>
      </c>
      <c r="G139" s="11"/>
      <c r="H139" s="46" t="s">
        <v>452</v>
      </c>
      <c r="I139" s="46" t="s">
        <v>81</v>
      </c>
      <c r="J139" s="109" t="s">
        <v>105</v>
      </c>
      <c r="K139" s="89" t="s">
        <v>406</v>
      </c>
      <c r="L139" s="88" t="s">
        <v>550</v>
      </c>
      <c r="M139" s="90" t="s">
        <v>520</v>
      </c>
      <c r="N139" s="88" t="s">
        <v>551</v>
      </c>
      <c r="O139" s="110"/>
      <c r="P139" s="91" t="s">
        <v>468</v>
      </c>
      <c r="Q139" s="103"/>
      <c r="R139" s="113"/>
      <c r="S139" s="104"/>
      <c r="T139" s="27" t="s">
        <v>111</v>
      </c>
    </row>
    <row r="140" s="1" customFormat="1" ht="27" hidden="1" spans="1:20">
      <c r="A140" s="9">
        <f t="shared" si="8"/>
        <v>139</v>
      </c>
      <c r="B140" s="105" t="s">
        <v>78</v>
      </c>
      <c r="C140" s="70" t="s">
        <v>552</v>
      </c>
      <c r="D140" s="70" t="s">
        <v>48</v>
      </c>
      <c r="E140" s="70" t="s">
        <v>553</v>
      </c>
      <c r="F140" s="106">
        <v>43537</v>
      </c>
      <c r="G140" s="11">
        <v>43543</v>
      </c>
      <c r="H140" s="46" t="s">
        <v>452</v>
      </c>
      <c r="I140" s="46" t="s">
        <v>81</v>
      </c>
      <c r="J140" s="109" t="s">
        <v>105</v>
      </c>
      <c r="K140" s="89" t="s">
        <v>406</v>
      </c>
      <c r="L140" s="88" t="s">
        <v>554</v>
      </c>
      <c r="M140" s="90"/>
      <c r="N140" s="88" t="s">
        <v>555</v>
      </c>
      <c r="O140" s="110"/>
      <c r="P140" s="91" t="s">
        <v>468</v>
      </c>
      <c r="Q140" s="103"/>
      <c r="R140" s="113"/>
      <c r="S140" s="104"/>
      <c r="T140" s="27" t="s">
        <v>85</v>
      </c>
    </row>
    <row r="141" s="1" customFormat="1" ht="27" hidden="1" spans="1:20">
      <c r="A141" s="9">
        <f t="shared" si="8"/>
        <v>140</v>
      </c>
      <c r="B141" s="105" t="s">
        <v>78</v>
      </c>
      <c r="C141" s="105" t="s">
        <v>541</v>
      </c>
      <c r="D141" s="105" t="s">
        <v>47</v>
      </c>
      <c r="E141" s="105" t="s">
        <v>556</v>
      </c>
      <c r="F141" s="106">
        <v>43537</v>
      </c>
      <c r="G141" s="11">
        <v>43545</v>
      </c>
      <c r="H141" s="46" t="s">
        <v>452</v>
      </c>
      <c r="I141" s="46" t="s">
        <v>81</v>
      </c>
      <c r="J141" s="109" t="s">
        <v>105</v>
      </c>
      <c r="K141" s="89" t="s">
        <v>406</v>
      </c>
      <c r="L141" s="88" t="s">
        <v>557</v>
      </c>
      <c r="M141" s="90" t="s">
        <v>558</v>
      </c>
      <c r="N141" s="88" t="s">
        <v>559</v>
      </c>
      <c r="O141" s="110"/>
      <c r="P141" s="91" t="s">
        <v>468</v>
      </c>
      <c r="Q141" s="103"/>
      <c r="R141" s="113"/>
      <c r="S141" s="104"/>
      <c r="T141" s="27"/>
    </row>
    <row r="142" s="1" customFormat="1" ht="27" hidden="1" spans="1:20">
      <c r="A142" s="9">
        <f t="shared" si="8"/>
        <v>141</v>
      </c>
      <c r="B142" s="105" t="s">
        <v>78</v>
      </c>
      <c r="C142" s="105" t="s">
        <v>541</v>
      </c>
      <c r="D142" s="105" t="s">
        <v>49</v>
      </c>
      <c r="E142" s="105" t="s">
        <v>560</v>
      </c>
      <c r="F142" s="106">
        <v>43537</v>
      </c>
      <c r="G142" s="11"/>
      <c r="H142" s="46" t="s">
        <v>452</v>
      </c>
      <c r="I142" s="46" t="s">
        <v>81</v>
      </c>
      <c r="J142" s="109" t="s">
        <v>105</v>
      </c>
      <c r="K142" s="89" t="s">
        <v>406</v>
      </c>
      <c r="L142" s="88" t="s">
        <v>557</v>
      </c>
      <c r="M142" s="90"/>
      <c r="N142" s="88" t="s">
        <v>559</v>
      </c>
      <c r="O142" s="110"/>
      <c r="P142" s="91" t="s">
        <v>468</v>
      </c>
      <c r="Q142" s="103"/>
      <c r="R142" s="113"/>
      <c r="S142" s="104"/>
      <c r="T142" s="27" t="s">
        <v>85</v>
      </c>
    </row>
    <row r="143" s="1" customFormat="1" ht="54" hidden="1" spans="1:20">
      <c r="A143" s="9">
        <f t="shared" si="8"/>
        <v>142</v>
      </c>
      <c r="B143" s="105" t="s">
        <v>78</v>
      </c>
      <c r="C143" s="105" t="s">
        <v>541</v>
      </c>
      <c r="D143" s="105" t="s">
        <v>49</v>
      </c>
      <c r="E143" s="105" t="s">
        <v>561</v>
      </c>
      <c r="F143" s="106">
        <v>43537</v>
      </c>
      <c r="G143" s="11"/>
      <c r="H143" s="46" t="s">
        <v>452</v>
      </c>
      <c r="I143" s="46" t="s">
        <v>81</v>
      </c>
      <c r="J143" s="109" t="s">
        <v>105</v>
      </c>
      <c r="K143" s="89" t="s">
        <v>406</v>
      </c>
      <c r="L143" s="88" t="s">
        <v>562</v>
      </c>
      <c r="M143" s="90"/>
      <c r="N143" s="88" t="s">
        <v>563</v>
      </c>
      <c r="O143" s="110"/>
      <c r="P143" s="91" t="s">
        <v>468</v>
      </c>
      <c r="Q143" s="103"/>
      <c r="R143" s="113"/>
      <c r="S143" s="104"/>
      <c r="T143" s="27" t="s">
        <v>85</v>
      </c>
    </row>
    <row r="144" s="1" customFormat="1" ht="175.5" hidden="1" spans="1:20">
      <c r="A144" s="9">
        <f t="shared" si="8"/>
        <v>143</v>
      </c>
      <c r="B144" s="105" t="s">
        <v>78</v>
      </c>
      <c r="C144" s="105" t="s">
        <v>541</v>
      </c>
      <c r="D144" s="105" t="s">
        <v>47</v>
      </c>
      <c r="E144" s="105" t="s">
        <v>564</v>
      </c>
      <c r="F144" s="106">
        <v>43537</v>
      </c>
      <c r="G144" s="11">
        <v>43548</v>
      </c>
      <c r="H144" s="46" t="s">
        <v>452</v>
      </c>
      <c r="I144" s="46" t="s">
        <v>81</v>
      </c>
      <c r="J144" s="109" t="s">
        <v>88</v>
      </c>
      <c r="K144" s="89" t="s">
        <v>406</v>
      </c>
      <c r="L144" s="88" t="s">
        <v>565</v>
      </c>
      <c r="M144" s="90" t="s">
        <v>566</v>
      </c>
      <c r="N144" s="88" t="s">
        <v>567</v>
      </c>
      <c r="O144" s="83">
        <v>43549</v>
      </c>
      <c r="P144" s="91" t="s">
        <v>468</v>
      </c>
      <c r="Q144" s="103"/>
      <c r="R144" s="90" t="s">
        <v>210</v>
      </c>
      <c r="S144" s="104"/>
      <c r="T144" s="27"/>
    </row>
    <row r="145" s="1" customFormat="1" ht="40.5" hidden="1" spans="1:20">
      <c r="A145" s="9">
        <f t="shared" si="8"/>
        <v>144</v>
      </c>
      <c r="B145" s="105" t="s">
        <v>78</v>
      </c>
      <c r="C145" s="105" t="s">
        <v>541</v>
      </c>
      <c r="D145" s="105" t="s">
        <v>49</v>
      </c>
      <c r="E145" s="105" t="s">
        <v>568</v>
      </c>
      <c r="F145" s="106">
        <v>43537</v>
      </c>
      <c r="G145" s="11"/>
      <c r="H145" s="46" t="s">
        <v>452</v>
      </c>
      <c r="I145" s="46" t="s">
        <v>81</v>
      </c>
      <c r="J145" s="109" t="s">
        <v>82</v>
      </c>
      <c r="K145" s="89" t="s">
        <v>406</v>
      </c>
      <c r="L145" s="88" t="s">
        <v>569</v>
      </c>
      <c r="M145" s="90"/>
      <c r="N145" s="88" t="s">
        <v>570</v>
      </c>
      <c r="O145" s="110"/>
      <c r="P145" s="91" t="s">
        <v>468</v>
      </c>
      <c r="Q145" s="103"/>
      <c r="R145" s="113"/>
      <c r="S145" s="104"/>
      <c r="T145" s="27" t="s">
        <v>85</v>
      </c>
    </row>
    <row r="146" s="1" customFormat="1" ht="102.75" hidden="1" customHeight="1" spans="1:20">
      <c r="A146" s="9">
        <f t="shared" si="8"/>
        <v>145</v>
      </c>
      <c r="B146" s="105" t="s">
        <v>78</v>
      </c>
      <c r="C146" s="105" t="s">
        <v>541</v>
      </c>
      <c r="D146" s="105" t="s">
        <v>47</v>
      </c>
      <c r="E146" s="105" t="s">
        <v>571</v>
      </c>
      <c r="F146" s="106">
        <v>43537</v>
      </c>
      <c r="G146" s="11">
        <v>43548</v>
      </c>
      <c r="H146" s="46" t="s">
        <v>452</v>
      </c>
      <c r="I146" s="46" t="s">
        <v>81</v>
      </c>
      <c r="J146" s="109" t="s">
        <v>88</v>
      </c>
      <c r="K146" s="89" t="s">
        <v>406</v>
      </c>
      <c r="L146" s="88" t="s">
        <v>565</v>
      </c>
      <c r="M146" s="90" t="s">
        <v>566</v>
      </c>
      <c r="N146" s="88" t="s">
        <v>572</v>
      </c>
      <c r="O146" s="83">
        <v>43549</v>
      </c>
      <c r="P146" s="91" t="s">
        <v>468</v>
      </c>
      <c r="Q146" s="103"/>
      <c r="R146" s="90" t="s">
        <v>210</v>
      </c>
      <c r="S146" s="104"/>
      <c r="T146" s="27"/>
    </row>
    <row r="147" s="1" customFormat="1" ht="40.5" hidden="1" spans="1:20">
      <c r="A147" s="9">
        <f t="shared" si="8"/>
        <v>146</v>
      </c>
      <c r="B147" s="105" t="s">
        <v>78</v>
      </c>
      <c r="C147" s="105" t="s">
        <v>506</v>
      </c>
      <c r="D147" s="105" t="s">
        <v>49</v>
      </c>
      <c r="E147" s="105" t="s">
        <v>573</v>
      </c>
      <c r="F147" s="106">
        <v>43537</v>
      </c>
      <c r="G147" s="11"/>
      <c r="H147" s="46" t="s">
        <v>452</v>
      </c>
      <c r="I147" s="46" t="s">
        <v>81</v>
      </c>
      <c r="J147" s="109" t="s">
        <v>105</v>
      </c>
      <c r="K147" s="89" t="s">
        <v>406</v>
      </c>
      <c r="L147" s="88" t="s">
        <v>574</v>
      </c>
      <c r="M147" s="90"/>
      <c r="N147" s="88" t="s">
        <v>575</v>
      </c>
      <c r="O147" s="110"/>
      <c r="P147" s="91" t="s">
        <v>468</v>
      </c>
      <c r="Q147" s="103"/>
      <c r="R147" s="113"/>
      <c r="S147" s="104"/>
      <c r="T147" s="27" t="s">
        <v>111</v>
      </c>
    </row>
    <row r="148" s="1" customFormat="1" ht="54" hidden="1" spans="1:20">
      <c r="A148" s="9">
        <f t="shared" si="8"/>
        <v>147</v>
      </c>
      <c r="B148" s="105" t="s">
        <v>78</v>
      </c>
      <c r="C148" s="105" t="s">
        <v>523</v>
      </c>
      <c r="D148" s="105" t="s">
        <v>49</v>
      </c>
      <c r="E148" s="105" t="s">
        <v>576</v>
      </c>
      <c r="F148" s="106">
        <v>43537</v>
      </c>
      <c r="G148" s="11"/>
      <c r="H148" s="46" t="s">
        <v>452</v>
      </c>
      <c r="I148" s="46" t="s">
        <v>81</v>
      </c>
      <c r="J148" s="109" t="s">
        <v>88</v>
      </c>
      <c r="K148" s="89" t="s">
        <v>406</v>
      </c>
      <c r="L148" s="88" t="s">
        <v>577</v>
      </c>
      <c r="M148" s="90"/>
      <c r="N148" s="88" t="s">
        <v>578</v>
      </c>
      <c r="O148" s="110"/>
      <c r="P148" s="91" t="s">
        <v>453</v>
      </c>
      <c r="Q148" s="103"/>
      <c r="R148" s="113"/>
      <c r="S148" s="104"/>
      <c r="T148" s="27" t="s">
        <v>111</v>
      </c>
    </row>
    <row r="149" s="1" customFormat="1" ht="40.5" hidden="1" spans="1:20">
      <c r="A149" s="9">
        <f t="shared" si="8"/>
        <v>148</v>
      </c>
      <c r="B149" s="105" t="s">
        <v>78</v>
      </c>
      <c r="C149" s="105" t="s">
        <v>523</v>
      </c>
      <c r="D149" s="105" t="s">
        <v>49</v>
      </c>
      <c r="E149" s="105" t="s">
        <v>579</v>
      </c>
      <c r="F149" s="106">
        <v>43537</v>
      </c>
      <c r="G149" s="11"/>
      <c r="H149" s="46" t="s">
        <v>452</v>
      </c>
      <c r="I149" s="46" t="s">
        <v>81</v>
      </c>
      <c r="J149" s="109" t="s">
        <v>82</v>
      </c>
      <c r="K149" s="89" t="s">
        <v>406</v>
      </c>
      <c r="L149" s="88" t="s">
        <v>480</v>
      </c>
      <c r="M149" s="90"/>
      <c r="N149" s="88" t="s">
        <v>580</v>
      </c>
      <c r="O149" s="110"/>
      <c r="P149" s="91" t="s">
        <v>453</v>
      </c>
      <c r="Q149" s="103"/>
      <c r="R149" s="113"/>
      <c r="S149" s="104"/>
      <c r="T149" s="27" t="s">
        <v>85</v>
      </c>
    </row>
    <row r="150" ht="67.5" hidden="1" spans="1:20">
      <c r="A150" s="9">
        <f t="shared" si="8"/>
        <v>149</v>
      </c>
      <c r="B150" s="72" t="s">
        <v>396</v>
      </c>
      <c r="C150" s="70" t="s">
        <v>581</v>
      </c>
      <c r="D150" s="70" t="s">
        <v>49</v>
      </c>
      <c r="E150" s="107" t="s">
        <v>582</v>
      </c>
      <c r="F150" s="73">
        <v>43538</v>
      </c>
      <c r="G150" s="11"/>
      <c r="H150" s="46" t="s">
        <v>452</v>
      </c>
      <c r="I150" s="46" t="s">
        <v>81</v>
      </c>
      <c r="J150" s="109" t="s">
        <v>105</v>
      </c>
      <c r="K150" s="89" t="s">
        <v>406</v>
      </c>
      <c r="L150" s="88" t="s">
        <v>583</v>
      </c>
      <c r="M150" s="90"/>
      <c r="N150" s="88" t="s">
        <v>584</v>
      </c>
      <c r="O150" s="110"/>
      <c r="P150" s="91" t="s">
        <v>502</v>
      </c>
      <c r="Q150" s="103"/>
      <c r="R150" s="113"/>
      <c r="S150" s="104"/>
      <c r="T150" s="27" t="s">
        <v>111</v>
      </c>
    </row>
    <row r="151" ht="27" hidden="1" spans="1:20">
      <c r="A151" s="71">
        <f t="shared" si="8"/>
        <v>150</v>
      </c>
      <c r="B151" s="72" t="s">
        <v>396</v>
      </c>
      <c r="C151" s="70" t="s">
        <v>581</v>
      </c>
      <c r="D151" s="70" t="s">
        <v>47</v>
      </c>
      <c r="E151" s="70" t="s">
        <v>585</v>
      </c>
      <c r="F151" s="73">
        <v>43538</v>
      </c>
      <c r="G151" s="11">
        <v>43544</v>
      </c>
      <c r="H151" s="46" t="s">
        <v>452</v>
      </c>
      <c r="I151" s="46" t="s">
        <v>81</v>
      </c>
      <c r="J151" s="109" t="s">
        <v>88</v>
      </c>
      <c r="K151" s="89" t="s">
        <v>406</v>
      </c>
      <c r="L151" s="88" t="s">
        <v>586</v>
      </c>
      <c r="M151" s="90" t="s">
        <v>493</v>
      </c>
      <c r="N151" s="88" t="s">
        <v>587</v>
      </c>
      <c r="O151" s="110"/>
      <c r="P151" s="91" t="s">
        <v>502</v>
      </c>
      <c r="Q151" s="103"/>
      <c r="R151" s="113"/>
      <c r="S151" s="104"/>
      <c r="T151" s="27"/>
    </row>
    <row r="152" ht="40.5" hidden="1" spans="1:20">
      <c r="A152" s="9">
        <f t="shared" si="8"/>
        <v>151</v>
      </c>
      <c r="B152" s="72" t="s">
        <v>396</v>
      </c>
      <c r="C152" s="70" t="s">
        <v>588</v>
      </c>
      <c r="D152" s="70" t="s">
        <v>49</v>
      </c>
      <c r="E152" s="70" t="s">
        <v>589</v>
      </c>
      <c r="F152" s="73">
        <v>43538</v>
      </c>
      <c r="G152" s="11"/>
      <c r="H152" s="46" t="s">
        <v>452</v>
      </c>
      <c r="I152" s="46" t="s">
        <v>81</v>
      </c>
      <c r="J152" s="109" t="s">
        <v>105</v>
      </c>
      <c r="K152" s="89" t="s">
        <v>406</v>
      </c>
      <c r="L152" s="88" t="s">
        <v>590</v>
      </c>
      <c r="M152" s="90" t="s">
        <v>520</v>
      </c>
      <c r="N152" s="88" t="s">
        <v>591</v>
      </c>
      <c r="O152" s="110"/>
      <c r="P152" s="91" t="s">
        <v>468</v>
      </c>
      <c r="Q152" s="103"/>
      <c r="R152" s="113"/>
      <c r="S152" s="104"/>
      <c r="T152" s="27" t="s">
        <v>111</v>
      </c>
    </row>
    <row r="153" ht="27" hidden="1" spans="1:20">
      <c r="A153" s="9">
        <f t="shared" si="8"/>
        <v>152</v>
      </c>
      <c r="B153" s="72" t="s">
        <v>396</v>
      </c>
      <c r="C153" s="70" t="s">
        <v>588</v>
      </c>
      <c r="D153" s="70" t="s">
        <v>47</v>
      </c>
      <c r="E153" s="70" t="s">
        <v>592</v>
      </c>
      <c r="F153" s="73">
        <v>43538</v>
      </c>
      <c r="G153" s="11">
        <v>43546</v>
      </c>
      <c r="H153" s="46" t="s">
        <v>452</v>
      </c>
      <c r="I153" s="46" t="s">
        <v>81</v>
      </c>
      <c r="J153" s="109" t="s">
        <v>88</v>
      </c>
      <c r="K153" s="89" t="s">
        <v>406</v>
      </c>
      <c r="L153" s="88" t="s">
        <v>593</v>
      </c>
      <c r="M153" s="90" t="s">
        <v>287</v>
      </c>
      <c r="N153" s="88" t="s">
        <v>594</v>
      </c>
      <c r="O153" s="110"/>
      <c r="P153" s="91" t="s">
        <v>468</v>
      </c>
      <c r="Q153" s="103"/>
      <c r="R153" s="113"/>
      <c r="S153" s="104"/>
      <c r="T153" s="27"/>
    </row>
    <row r="154" ht="27" hidden="1" spans="1:20">
      <c r="A154" s="9">
        <f t="shared" si="8"/>
        <v>153</v>
      </c>
      <c r="B154" s="70" t="s">
        <v>78</v>
      </c>
      <c r="C154" s="70" t="s">
        <v>595</v>
      </c>
      <c r="D154" s="70" t="s">
        <v>47</v>
      </c>
      <c r="E154" s="70" t="s">
        <v>596</v>
      </c>
      <c r="F154" s="73">
        <v>43539</v>
      </c>
      <c r="G154" s="11"/>
      <c r="H154" s="46" t="s">
        <v>452</v>
      </c>
      <c r="I154" s="46" t="s">
        <v>81</v>
      </c>
      <c r="J154" s="109" t="s">
        <v>105</v>
      </c>
      <c r="K154" s="89" t="s">
        <v>406</v>
      </c>
      <c r="L154" s="88" t="s">
        <v>597</v>
      </c>
      <c r="M154" s="90" t="s">
        <v>598</v>
      </c>
      <c r="N154" s="88"/>
      <c r="O154" s="110"/>
      <c r="P154" s="91" t="s">
        <v>599</v>
      </c>
      <c r="Q154" s="103"/>
      <c r="R154" s="113"/>
      <c r="S154" s="104"/>
      <c r="T154" s="27"/>
    </row>
    <row r="155" ht="81" hidden="1" spans="1:20">
      <c r="A155" s="9">
        <f t="shared" si="8"/>
        <v>154</v>
      </c>
      <c r="B155" s="70" t="s">
        <v>78</v>
      </c>
      <c r="C155" s="105" t="s">
        <v>595</v>
      </c>
      <c r="D155" s="105" t="s">
        <v>49</v>
      </c>
      <c r="E155" s="105" t="s">
        <v>600</v>
      </c>
      <c r="F155" s="73">
        <v>43539</v>
      </c>
      <c r="G155" s="11"/>
      <c r="H155" s="46" t="s">
        <v>452</v>
      </c>
      <c r="I155" s="46" t="s">
        <v>81</v>
      </c>
      <c r="J155" s="109" t="s">
        <v>88</v>
      </c>
      <c r="K155" s="89" t="s">
        <v>406</v>
      </c>
      <c r="L155" s="88" t="s">
        <v>601</v>
      </c>
      <c r="M155" s="90"/>
      <c r="N155" s="88" t="s">
        <v>602</v>
      </c>
      <c r="O155" s="110"/>
      <c r="P155" s="91" t="s">
        <v>599</v>
      </c>
      <c r="Q155" s="103"/>
      <c r="R155" s="113"/>
      <c r="S155" s="104"/>
      <c r="T155" s="27" t="s">
        <v>85</v>
      </c>
    </row>
    <row r="156" ht="40.5" hidden="1" spans="1:20">
      <c r="A156" s="9">
        <f t="shared" si="8"/>
        <v>155</v>
      </c>
      <c r="B156" s="70" t="s">
        <v>78</v>
      </c>
      <c r="C156" s="105" t="s">
        <v>595</v>
      </c>
      <c r="D156" s="105" t="s">
        <v>47</v>
      </c>
      <c r="E156" s="105" t="s">
        <v>603</v>
      </c>
      <c r="F156" s="73">
        <v>43539</v>
      </c>
      <c r="G156" s="11">
        <v>43546</v>
      </c>
      <c r="H156" s="46" t="s">
        <v>452</v>
      </c>
      <c r="I156" s="46" t="s">
        <v>81</v>
      </c>
      <c r="J156" s="109" t="s">
        <v>88</v>
      </c>
      <c r="K156" s="89" t="s">
        <v>406</v>
      </c>
      <c r="L156" s="88" t="s">
        <v>604</v>
      </c>
      <c r="M156" s="90" t="s">
        <v>536</v>
      </c>
      <c r="N156" s="88" t="s">
        <v>605</v>
      </c>
      <c r="O156" s="110"/>
      <c r="P156" s="91" t="s">
        <v>599</v>
      </c>
      <c r="Q156" s="103"/>
      <c r="R156" s="113"/>
      <c r="S156" s="104"/>
      <c r="T156" s="27"/>
    </row>
    <row r="157" ht="27" hidden="1" spans="1:20">
      <c r="A157" s="9">
        <f t="shared" si="8"/>
        <v>156</v>
      </c>
      <c r="B157" s="70" t="s">
        <v>78</v>
      </c>
      <c r="C157" s="105" t="s">
        <v>595</v>
      </c>
      <c r="D157" s="105" t="s">
        <v>49</v>
      </c>
      <c r="E157" s="105" t="s">
        <v>606</v>
      </c>
      <c r="F157" s="73">
        <v>43539</v>
      </c>
      <c r="G157" s="11"/>
      <c r="H157" s="46" t="s">
        <v>452</v>
      </c>
      <c r="I157" s="46" t="s">
        <v>81</v>
      </c>
      <c r="J157" s="109" t="s">
        <v>105</v>
      </c>
      <c r="K157" s="89" t="s">
        <v>406</v>
      </c>
      <c r="L157" s="88" t="s">
        <v>607</v>
      </c>
      <c r="M157" s="90"/>
      <c r="N157" s="88"/>
      <c r="O157" s="110"/>
      <c r="P157" s="91" t="s">
        <v>599</v>
      </c>
      <c r="Q157" s="103"/>
      <c r="R157" s="113"/>
      <c r="S157" s="104"/>
      <c r="T157" s="27" t="s">
        <v>85</v>
      </c>
    </row>
    <row r="158" ht="175.5" hidden="1" spans="1:20">
      <c r="A158" s="9">
        <f t="shared" si="8"/>
        <v>157</v>
      </c>
      <c r="B158" s="70" t="s">
        <v>78</v>
      </c>
      <c r="C158" s="105" t="s">
        <v>595</v>
      </c>
      <c r="D158" s="105" t="s">
        <v>49</v>
      </c>
      <c r="E158" s="105" t="s">
        <v>608</v>
      </c>
      <c r="F158" s="73">
        <v>43539</v>
      </c>
      <c r="G158" s="11"/>
      <c r="H158" s="46" t="s">
        <v>452</v>
      </c>
      <c r="I158" s="46" t="s">
        <v>81</v>
      </c>
      <c r="J158" s="109" t="s">
        <v>105</v>
      </c>
      <c r="K158" s="89" t="s">
        <v>406</v>
      </c>
      <c r="L158" s="88" t="s">
        <v>609</v>
      </c>
      <c r="M158" s="90"/>
      <c r="N158" s="88"/>
      <c r="O158" s="110"/>
      <c r="P158" s="91" t="s">
        <v>599</v>
      </c>
      <c r="Q158" s="103"/>
      <c r="R158" s="113"/>
      <c r="S158" s="104"/>
      <c r="T158" s="27" t="s">
        <v>111</v>
      </c>
    </row>
    <row r="159" ht="40.5" hidden="1" spans="1:20">
      <c r="A159" s="9">
        <f t="shared" si="8"/>
        <v>158</v>
      </c>
      <c r="B159" s="70" t="s">
        <v>78</v>
      </c>
      <c r="C159" s="105" t="s">
        <v>595</v>
      </c>
      <c r="D159" s="105" t="s">
        <v>49</v>
      </c>
      <c r="E159" s="105" t="s">
        <v>610</v>
      </c>
      <c r="F159" s="73">
        <v>43539</v>
      </c>
      <c r="G159" s="11"/>
      <c r="H159" s="46" t="s">
        <v>452</v>
      </c>
      <c r="I159" s="46" t="s">
        <v>81</v>
      </c>
      <c r="J159" s="109" t="s">
        <v>105</v>
      </c>
      <c r="K159" s="89" t="s">
        <v>406</v>
      </c>
      <c r="L159" s="88" t="s">
        <v>611</v>
      </c>
      <c r="M159" s="90"/>
      <c r="N159" s="88" t="s">
        <v>612</v>
      </c>
      <c r="O159" s="110"/>
      <c r="P159" s="91" t="s">
        <v>599</v>
      </c>
      <c r="Q159" s="103"/>
      <c r="R159" s="113"/>
      <c r="S159" s="104"/>
      <c r="T159" s="27" t="s">
        <v>85</v>
      </c>
    </row>
    <row r="160" ht="27" hidden="1" spans="1:20">
      <c r="A160" s="9">
        <f t="shared" si="8"/>
        <v>159</v>
      </c>
      <c r="B160" s="70" t="s">
        <v>78</v>
      </c>
      <c r="C160" s="70" t="s">
        <v>595</v>
      </c>
      <c r="D160" s="70" t="s">
        <v>49</v>
      </c>
      <c r="E160" s="70" t="s">
        <v>613</v>
      </c>
      <c r="F160" s="73">
        <v>43539</v>
      </c>
      <c r="G160" s="11"/>
      <c r="H160" s="46" t="s">
        <v>452</v>
      </c>
      <c r="I160" s="46" t="s">
        <v>81</v>
      </c>
      <c r="J160" s="109" t="s">
        <v>105</v>
      </c>
      <c r="K160" s="89" t="s">
        <v>406</v>
      </c>
      <c r="L160" s="88" t="s">
        <v>480</v>
      </c>
      <c r="M160" s="90"/>
      <c r="N160" s="88" t="s">
        <v>614</v>
      </c>
      <c r="O160" s="110"/>
      <c r="P160" s="91" t="s">
        <v>599</v>
      </c>
      <c r="Q160" s="103"/>
      <c r="R160" s="113"/>
      <c r="S160" s="104"/>
      <c r="T160" s="27" t="s">
        <v>85</v>
      </c>
    </row>
    <row r="161" ht="40.5" hidden="1" spans="1:20">
      <c r="A161" s="9">
        <f t="shared" si="8"/>
        <v>160</v>
      </c>
      <c r="B161" s="70" t="s">
        <v>78</v>
      </c>
      <c r="C161" s="70" t="s">
        <v>595</v>
      </c>
      <c r="D161" s="70" t="s">
        <v>49</v>
      </c>
      <c r="E161" s="70" t="s">
        <v>615</v>
      </c>
      <c r="F161" s="73">
        <v>43539</v>
      </c>
      <c r="G161" s="11"/>
      <c r="H161" s="46" t="s">
        <v>452</v>
      </c>
      <c r="I161" s="46" t="s">
        <v>81</v>
      </c>
      <c r="J161" s="109" t="s">
        <v>82</v>
      </c>
      <c r="K161" s="89" t="s">
        <v>406</v>
      </c>
      <c r="L161" s="88" t="s">
        <v>616</v>
      </c>
      <c r="M161" s="90"/>
      <c r="N161" s="88" t="s">
        <v>617</v>
      </c>
      <c r="O161" s="110"/>
      <c r="P161" s="91" t="s">
        <v>599</v>
      </c>
      <c r="Q161" s="103"/>
      <c r="R161" s="113"/>
      <c r="S161" s="104"/>
      <c r="T161" s="27" t="s">
        <v>111</v>
      </c>
    </row>
    <row r="162" ht="40.5" hidden="1" spans="1:20">
      <c r="A162" s="9">
        <f t="shared" si="8"/>
        <v>161</v>
      </c>
      <c r="B162" s="70" t="s">
        <v>78</v>
      </c>
      <c r="C162" s="70" t="s">
        <v>595</v>
      </c>
      <c r="D162" s="70" t="s">
        <v>47</v>
      </c>
      <c r="E162" s="70" t="s">
        <v>618</v>
      </c>
      <c r="F162" s="73">
        <v>43539</v>
      </c>
      <c r="G162" s="11">
        <v>43545</v>
      </c>
      <c r="H162" s="46" t="s">
        <v>452</v>
      </c>
      <c r="I162" s="46" t="s">
        <v>81</v>
      </c>
      <c r="J162" s="109" t="s">
        <v>88</v>
      </c>
      <c r="K162" s="89" t="s">
        <v>406</v>
      </c>
      <c r="L162" s="88" t="s">
        <v>619</v>
      </c>
      <c r="M162" s="90" t="s">
        <v>620</v>
      </c>
      <c r="N162" s="88" t="s">
        <v>621</v>
      </c>
      <c r="O162" s="110"/>
      <c r="P162" s="91" t="s">
        <v>599</v>
      </c>
      <c r="Q162" s="103"/>
      <c r="R162" s="113"/>
      <c r="S162" s="104"/>
      <c r="T162" s="27"/>
    </row>
    <row r="163" ht="67.5" hidden="1" spans="1:20">
      <c r="A163" s="9">
        <f t="shared" si="8"/>
        <v>162</v>
      </c>
      <c r="B163" s="70" t="s">
        <v>78</v>
      </c>
      <c r="C163" s="70" t="s">
        <v>622</v>
      </c>
      <c r="D163" s="70" t="s">
        <v>47</v>
      </c>
      <c r="E163" s="70" t="s">
        <v>623</v>
      </c>
      <c r="F163" s="73">
        <v>43539</v>
      </c>
      <c r="G163" s="11">
        <v>43545</v>
      </c>
      <c r="H163" s="46" t="s">
        <v>452</v>
      </c>
      <c r="I163" s="46" t="s">
        <v>81</v>
      </c>
      <c r="J163" s="109" t="s">
        <v>88</v>
      </c>
      <c r="K163" s="89" t="s">
        <v>406</v>
      </c>
      <c r="L163" s="88" t="s">
        <v>619</v>
      </c>
      <c r="M163" s="90" t="s">
        <v>620</v>
      </c>
      <c r="N163" s="88" t="s">
        <v>624</v>
      </c>
      <c r="O163" s="110"/>
      <c r="P163" s="91" t="s">
        <v>468</v>
      </c>
      <c r="Q163" s="103"/>
      <c r="R163" s="113"/>
      <c r="S163" s="104"/>
      <c r="T163" s="27"/>
    </row>
    <row r="164" ht="27" hidden="1" spans="1:20">
      <c r="A164" s="9">
        <f t="shared" si="8"/>
        <v>163</v>
      </c>
      <c r="B164" s="70" t="s">
        <v>78</v>
      </c>
      <c r="C164" s="70"/>
      <c r="D164" s="70" t="s">
        <v>48</v>
      </c>
      <c r="E164" s="70" t="s">
        <v>625</v>
      </c>
      <c r="F164" s="73">
        <v>43539</v>
      </c>
      <c r="G164" s="11">
        <v>43552</v>
      </c>
      <c r="H164" s="46" t="s">
        <v>452</v>
      </c>
      <c r="I164" s="46" t="s">
        <v>81</v>
      </c>
      <c r="J164" s="109" t="s">
        <v>105</v>
      </c>
      <c r="K164" s="89" t="s">
        <v>406</v>
      </c>
      <c r="L164" s="88"/>
      <c r="M164" s="90"/>
      <c r="N164" s="88" t="s">
        <v>626</v>
      </c>
      <c r="O164" s="110"/>
      <c r="P164" s="91" t="s">
        <v>599</v>
      </c>
      <c r="Q164" s="103"/>
      <c r="R164" s="113"/>
      <c r="S164" s="104"/>
      <c r="T164" s="27" t="s">
        <v>85</v>
      </c>
    </row>
    <row r="165" ht="67.5" hidden="1" spans="1:20">
      <c r="A165" s="9">
        <f t="shared" si="8"/>
        <v>164</v>
      </c>
      <c r="B165" s="70" t="s">
        <v>78</v>
      </c>
      <c r="C165" s="70" t="s">
        <v>595</v>
      </c>
      <c r="D165" s="70" t="s">
        <v>47</v>
      </c>
      <c r="E165" s="70" t="s">
        <v>627</v>
      </c>
      <c r="F165" s="73">
        <v>43539</v>
      </c>
      <c r="G165" s="11">
        <v>43546</v>
      </c>
      <c r="H165" s="46" t="s">
        <v>452</v>
      </c>
      <c r="I165" s="46" t="s">
        <v>81</v>
      </c>
      <c r="J165" s="109" t="s">
        <v>88</v>
      </c>
      <c r="K165" s="89" t="s">
        <v>406</v>
      </c>
      <c r="L165" s="88" t="s">
        <v>628</v>
      </c>
      <c r="M165" s="90" t="s">
        <v>493</v>
      </c>
      <c r="N165" s="88" t="s">
        <v>629</v>
      </c>
      <c r="O165" s="110"/>
      <c r="P165" s="91" t="s">
        <v>599</v>
      </c>
      <c r="Q165" s="103"/>
      <c r="R165" s="113"/>
      <c r="S165" s="104"/>
      <c r="T165" s="27"/>
    </row>
    <row r="166" ht="40.5" hidden="1" spans="1:20">
      <c r="A166" s="9">
        <f t="shared" si="8"/>
        <v>165</v>
      </c>
      <c r="B166" s="70" t="s">
        <v>78</v>
      </c>
      <c r="C166" s="70" t="s">
        <v>595</v>
      </c>
      <c r="D166" s="70" t="s">
        <v>49</v>
      </c>
      <c r="E166" s="70" t="s">
        <v>630</v>
      </c>
      <c r="F166" s="73">
        <v>43539</v>
      </c>
      <c r="G166" s="11">
        <v>43549</v>
      </c>
      <c r="H166" s="46" t="s">
        <v>452</v>
      </c>
      <c r="I166" s="46" t="s">
        <v>81</v>
      </c>
      <c r="J166" s="109" t="s">
        <v>105</v>
      </c>
      <c r="K166" s="89" t="s">
        <v>406</v>
      </c>
      <c r="L166" s="88" t="s">
        <v>480</v>
      </c>
      <c r="M166" s="90"/>
      <c r="N166" s="88" t="s">
        <v>631</v>
      </c>
      <c r="O166" s="110"/>
      <c r="P166" s="91" t="s">
        <v>599</v>
      </c>
      <c r="Q166" s="103"/>
      <c r="R166" s="113"/>
      <c r="S166" s="104"/>
      <c r="T166" s="27" t="s">
        <v>85</v>
      </c>
    </row>
    <row r="167" ht="27" hidden="1" spans="1:20">
      <c r="A167" s="9">
        <f t="shared" si="8"/>
        <v>166</v>
      </c>
      <c r="B167" s="70" t="s">
        <v>78</v>
      </c>
      <c r="C167" s="70" t="s">
        <v>622</v>
      </c>
      <c r="D167" s="70" t="s">
        <v>47</v>
      </c>
      <c r="E167" s="70" t="s">
        <v>632</v>
      </c>
      <c r="F167" s="73">
        <v>43539</v>
      </c>
      <c r="G167" s="11">
        <v>43546</v>
      </c>
      <c r="H167" s="46" t="s">
        <v>452</v>
      </c>
      <c r="I167" s="46" t="s">
        <v>81</v>
      </c>
      <c r="J167" s="109" t="s">
        <v>88</v>
      </c>
      <c r="K167" s="89" t="s">
        <v>406</v>
      </c>
      <c r="L167" s="88" t="s">
        <v>619</v>
      </c>
      <c r="M167" s="90" t="s">
        <v>633</v>
      </c>
      <c r="N167" s="88" t="s">
        <v>624</v>
      </c>
      <c r="O167" s="110"/>
      <c r="P167" s="91" t="s">
        <v>468</v>
      </c>
      <c r="Q167" s="103"/>
      <c r="R167" s="113"/>
      <c r="S167" s="104"/>
      <c r="T167" s="27"/>
    </row>
    <row r="168" ht="364.5" hidden="1" spans="1:20">
      <c r="A168" s="9">
        <f t="shared" si="8"/>
        <v>167</v>
      </c>
      <c r="B168" s="70" t="s">
        <v>78</v>
      </c>
      <c r="C168" s="70" t="s">
        <v>622</v>
      </c>
      <c r="D168" s="70" t="s">
        <v>49</v>
      </c>
      <c r="E168" s="70" t="s">
        <v>634</v>
      </c>
      <c r="F168" s="73">
        <v>43539</v>
      </c>
      <c r="G168" s="11"/>
      <c r="H168" s="46" t="s">
        <v>452</v>
      </c>
      <c r="I168" s="46" t="s">
        <v>81</v>
      </c>
      <c r="J168" s="109" t="s">
        <v>88</v>
      </c>
      <c r="K168" s="89" t="s">
        <v>406</v>
      </c>
      <c r="L168" s="88"/>
      <c r="M168" s="90"/>
      <c r="N168" s="88" t="s">
        <v>635</v>
      </c>
      <c r="O168" s="110"/>
      <c r="P168" s="91" t="s">
        <v>468</v>
      </c>
      <c r="Q168" s="103"/>
      <c r="R168" s="113"/>
      <c r="S168" s="104"/>
      <c r="T168" s="27" t="s">
        <v>85</v>
      </c>
    </row>
    <row r="169" ht="27" hidden="1" spans="1:20">
      <c r="A169" s="9">
        <f t="shared" si="8"/>
        <v>168</v>
      </c>
      <c r="B169" s="70" t="s">
        <v>78</v>
      </c>
      <c r="C169" s="70" t="s">
        <v>636</v>
      </c>
      <c r="D169" s="70" t="s">
        <v>49</v>
      </c>
      <c r="E169" s="70" t="s">
        <v>637</v>
      </c>
      <c r="F169" s="73">
        <v>43539</v>
      </c>
      <c r="G169" s="70"/>
      <c r="H169" s="46" t="s">
        <v>452</v>
      </c>
      <c r="I169" s="46" t="s">
        <v>81</v>
      </c>
      <c r="J169" s="109"/>
      <c r="K169" s="89" t="s">
        <v>406</v>
      </c>
      <c r="L169" s="88"/>
      <c r="M169" s="90"/>
      <c r="N169" s="88" t="s">
        <v>638</v>
      </c>
      <c r="O169" s="110"/>
      <c r="P169" s="91" t="s">
        <v>468</v>
      </c>
      <c r="Q169" s="103"/>
      <c r="R169" s="113"/>
      <c r="S169" s="104"/>
      <c r="T169" s="113" t="s">
        <v>85</v>
      </c>
    </row>
    <row r="170" ht="108" hidden="1" spans="1:20">
      <c r="A170" s="9">
        <f t="shared" si="8"/>
        <v>169</v>
      </c>
      <c r="B170" s="70" t="s">
        <v>639</v>
      </c>
      <c r="C170" s="70" t="s">
        <v>640</v>
      </c>
      <c r="D170" s="70" t="s">
        <v>49</v>
      </c>
      <c r="E170" s="70" t="s">
        <v>641</v>
      </c>
      <c r="F170" s="73">
        <v>43539</v>
      </c>
      <c r="G170" s="70"/>
      <c r="H170" s="46" t="s">
        <v>452</v>
      </c>
      <c r="I170" s="46" t="s">
        <v>81</v>
      </c>
      <c r="J170" s="109"/>
      <c r="K170" s="89" t="s">
        <v>406</v>
      </c>
      <c r="L170" s="88" t="s">
        <v>642</v>
      </c>
      <c r="M170" s="90"/>
      <c r="N170" s="88"/>
      <c r="O170" s="110"/>
      <c r="P170" s="91" t="s">
        <v>468</v>
      </c>
      <c r="Q170" s="103"/>
      <c r="R170" s="113"/>
      <c r="S170" s="104"/>
      <c r="T170" s="113" t="s">
        <v>85</v>
      </c>
    </row>
    <row r="171" ht="81" hidden="1" spans="1:20">
      <c r="A171" s="9">
        <f t="shared" si="8"/>
        <v>170</v>
      </c>
      <c r="B171" s="70" t="s">
        <v>639</v>
      </c>
      <c r="C171" s="70" t="s">
        <v>640</v>
      </c>
      <c r="D171" s="70" t="s">
        <v>49</v>
      </c>
      <c r="E171" s="70" t="s">
        <v>643</v>
      </c>
      <c r="F171" s="73">
        <v>43539</v>
      </c>
      <c r="G171" s="70"/>
      <c r="H171" s="46" t="s">
        <v>452</v>
      </c>
      <c r="I171" s="46" t="s">
        <v>81</v>
      </c>
      <c r="J171" s="109"/>
      <c r="K171" s="89" t="s">
        <v>406</v>
      </c>
      <c r="L171" s="88" t="s">
        <v>644</v>
      </c>
      <c r="M171" s="90"/>
      <c r="N171" s="88"/>
      <c r="O171" s="83">
        <v>43545</v>
      </c>
      <c r="P171" s="91" t="s">
        <v>468</v>
      </c>
      <c r="Q171" s="103"/>
      <c r="R171" s="90" t="s">
        <v>210</v>
      </c>
      <c r="S171" s="104"/>
      <c r="T171" s="113" t="s">
        <v>85</v>
      </c>
    </row>
    <row r="172" ht="56.25" hidden="1" customHeight="1" spans="1:20">
      <c r="A172" s="9">
        <f t="shared" si="8"/>
        <v>171</v>
      </c>
      <c r="B172" s="70" t="s">
        <v>639</v>
      </c>
      <c r="C172" s="70" t="s">
        <v>640</v>
      </c>
      <c r="D172" s="70" t="s">
        <v>49</v>
      </c>
      <c r="E172" s="73" t="s">
        <v>645</v>
      </c>
      <c r="F172" s="73">
        <v>43539</v>
      </c>
      <c r="G172" s="70"/>
      <c r="H172" s="46" t="s">
        <v>452</v>
      </c>
      <c r="I172" s="46" t="s">
        <v>81</v>
      </c>
      <c r="J172" s="109"/>
      <c r="K172" s="89" t="s">
        <v>406</v>
      </c>
      <c r="L172" s="88" t="s">
        <v>646</v>
      </c>
      <c r="M172" s="90"/>
      <c r="N172" s="88"/>
      <c r="O172" s="110"/>
      <c r="P172" s="91" t="s">
        <v>468</v>
      </c>
      <c r="Q172" s="103"/>
      <c r="R172" s="113"/>
      <c r="S172" s="104"/>
      <c r="T172" s="113" t="s">
        <v>85</v>
      </c>
    </row>
    <row r="173" ht="56.25" hidden="1" customHeight="1" spans="1:20">
      <c r="A173" s="9">
        <f t="shared" si="8"/>
        <v>172</v>
      </c>
      <c r="B173" s="70" t="s">
        <v>639</v>
      </c>
      <c r="C173" s="70" t="s">
        <v>640</v>
      </c>
      <c r="D173" s="70" t="s">
        <v>49</v>
      </c>
      <c r="E173" s="73" t="s">
        <v>647</v>
      </c>
      <c r="F173" s="73">
        <v>43539</v>
      </c>
      <c r="G173" s="70"/>
      <c r="H173" s="46" t="s">
        <v>452</v>
      </c>
      <c r="I173" s="46" t="s">
        <v>81</v>
      </c>
      <c r="J173" s="109"/>
      <c r="K173" s="89" t="s">
        <v>406</v>
      </c>
      <c r="L173" s="88" t="s">
        <v>648</v>
      </c>
      <c r="M173" s="90"/>
      <c r="N173" s="88"/>
      <c r="O173" s="110"/>
      <c r="P173" s="91" t="s">
        <v>468</v>
      </c>
      <c r="Q173" s="103"/>
      <c r="R173" s="113"/>
      <c r="S173" s="104"/>
      <c r="T173" s="113" t="s">
        <v>85</v>
      </c>
    </row>
    <row r="174" ht="135" hidden="1" spans="1:20">
      <c r="A174" s="9">
        <f t="shared" si="8"/>
        <v>173</v>
      </c>
      <c r="B174" s="70" t="s">
        <v>78</v>
      </c>
      <c r="C174" s="70" t="s">
        <v>649</v>
      </c>
      <c r="D174" s="70" t="s">
        <v>49</v>
      </c>
      <c r="E174" s="70" t="s">
        <v>650</v>
      </c>
      <c r="F174" s="73"/>
      <c r="G174" s="70"/>
      <c r="H174" s="73"/>
      <c r="I174" s="109"/>
      <c r="J174" s="109"/>
      <c r="K174" s="89" t="s">
        <v>406</v>
      </c>
      <c r="L174" s="88"/>
      <c r="M174" s="90"/>
      <c r="N174" s="88"/>
      <c r="O174" s="110"/>
      <c r="P174" s="91"/>
      <c r="Q174" s="103"/>
      <c r="R174" s="113"/>
      <c r="S174" s="104"/>
      <c r="T174" s="113" t="s">
        <v>111</v>
      </c>
    </row>
    <row r="175" ht="24.75" hidden="1" customHeight="1" spans="1:20">
      <c r="A175" s="9">
        <f t="shared" si="8"/>
        <v>174</v>
      </c>
      <c r="B175" s="70" t="s">
        <v>78</v>
      </c>
      <c r="C175" s="70" t="s">
        <v>651</v>
      </c>
      <c r="D175" s="105" t="s">
        <v>49</v>
      </c>
      <c r="E175" s="105" t="s">
        <v>652</v>
      </c>
      <c r="F175" s="73"/>
      <c r="G175" s="70"/>
      <c r="H175" s="73"/>
      <c r="I175" s="109"/>
      <c r="J175" s="109"/>
      <c r="K175" s="89" t="s">
        <v>406</v>
      </c>
      <c r="L175" s="88"/>
      <c r="M175" s="90"/>
      <c r="N175" s="88"/>
      <c r="O175" s="110"/>
      <c r="P175" s="91"/>
      <c r="Q175" s="103"/>
      <c r="R175" s="113"/>
      <c r="S175" s="104"/>
      <c r="T175" s="113" t="s">
        <v>111</v>
      </c>
    </row>
    <row r="176" ht="26.25" hidden="1" customHeight="1" spans="1:20">
      <c r="A176" s="9">
        <f t="shared" si="8"/>
        <v>175</v>
      </c>
      <c r="B176" s="70" t="s">
        <v>78</v>
      </c>
      <c r="C176" s="70" t="s">
        <v>651</v>
      </c>
      <c r="D176" s="105" t="s">
        <v>49</v>
      </c>
      <c r="E176" s="105" t="s">
        <v>653</v>
      </c>
      <c r="F176" s="73"/>
      <c r="G176" s="70"/>
      <c r="H176" s="73"/>
      <c r="I176" s="109"/>
      <c r="J176" s="109"/>
      <c r="K176" s="89" t="s">
        <v>406</v>
      </c>
      <c r="L176" s="88"/>
      <c r="M176" s="90"/>
      <c r="N176" s="88"/>
      <c r="O176" s="110"/>
      <c r="P176" s="91"/>
      <c r="Q176" s="103"/>
      <c r="R176" s="113"/>
      <c r="S176" s="104"/>
      <c r="T176" s="113" t="s">
        <v>111</v>
      </c>
    </row>
    <row r="177" ht="27" hidden="1" spans="1:20">
      <c r="A177" s="9">
        <f t="shared" si="8"/>
        <v>176</v>
      </c>
      <c r="B177" s="70" t="s">
        <v>78</v>
      </c>
      <c r="C177" s="70" t="s">
        <v>651</v>
      </c>
      <c r="D177" s="105" t="s">
        <v>49</v>
      </c>
      <c r="E177" s="105" t="s">
        <v>654</v>
      </c>
      <c r="F177" s="73"/>
      <c r="G177" s="70"/>
      <c r="H177" s="73"/>
      <c r="I177" s="109"/>
      <c r="J177" s="109"/>
      <c r="K177" s="89" t="s">
        <v>406</v>
      </c>
      <c r="L177" s="88"/>
      <c r="M177" s="90"/>
      <c r="N177" s="88"/>
      <c r="O177" s="110"/>
      <c r="P177" s="91"/>
      <c r="Q177" s="103"/>
      <c r="R177" s="113"/>
      <c r="S177" s="104"/>
      <c r="T177" s="113" t="s">
        <v>111</v>
      </c>
    </row>
    <row r="178" ht="27" hidden="1" spans="1:20">
      <c r="A178" s="9">
        <f t="shared" si="8"/>
        <v>177</v>
      </c>
      <c r="B178" s="70" t="s">
        <v>78</v>
      </c>
      <c r="C178" s="70" t="s">
        <v>651</v>
      </c>
      <c r="D178" s="105" t="s">
        <v>49</v>
      </c>
      <c r="E178" s="105" t="s">
        <v>655</v>
      </c>
      <c r="F178" s="73"/>
      <c r="G178" s="70"/>
      <c r="H178" s="73"/>
      <c r="I178" s="109"/>
      <c r="J178" s="109"/>
      <c r="K178" s="89" t="s">
        <v>406</v>
      </c>
      <c r="L178" s="88"/>
      <c r="M178" s="90"/>
      <c r="N178" s="88"/>
      <c r="O178" s="110"/>
      <c r="P178" s="91"/>
      <c r="Q178" s="103"/>
      <c r="R178" s="113"/>
      <c r="S178" s="104"/>
      <c r="T178" s="113" t="s">
        <v>111</v>
      </c>
    </row>
    <row r="179" ht="27" hidden="1" spans="1:20">
      <c r="A179" s="9">
        <f t="shared" si="8"/>
        <v>178</v>
      </c>
      <c r="B179" s="70" t="s">
        <v>78</v>
      </c>
      <c r="C179" s="105" t="s">
        <v>656</v>
      </c>
      <c r="D179" s="105" t="s">
        <v>49</v>
      </c>
      <c r="E179" s="105" t="s">
        <v>657</v>
      </c>
      <c r="F179" s="73"/>
      <c r="G179" s="70"/>
      <c r="H179" s="73"/>
      <c r="I179" s="109"/>
      <c r="J179" s="109"/>
      <c r="K179" s="89" t="s">
        <v>406</v>
      </c>
      <c r="L179" s="88"/>
      <c r="M179" s="90"/>
      <c r="N179" s="88"/>
      <c r="O179" s="110"/>
      <c r="P179" s="91"/>
      <c r="Q179" s="103"/>
      <c r="R179" s="113"/>
      <c r="S179" s="104"/>
      <c r="T179" s="113" t="s">
        <v>85</v>
      </c>
    </row>
    <row r="180" ht="26.25" hidden="1" customHeight="1" spans="1:20">
      <c r="A180" s="9">
        <f t="shared" si="8"/>
        <v>179</v>
      </c>
      <c r="B180" s="70" t="s">
        <v>78</v>
      </c>
      <c r="C180" s="105" t="s">
        <v>656</v>
      </c>
      <c r="D180" s="105" t="s">
        <v>49</v>
      </c>
      <c r="E180" s="105" t="s">
        <v>658</v>
      </c>
      <c r="F180" s="73"/>
      <c r="G180" s="70"/>
      <c r="H180" s="73"/>
      <c r="I180" s="109"/>
      <c r="J180" s="109"/>
      <c r="K180" s="89" t="s">
        <v>406</v>
      </c>
      <c r="L180" s="88"/>
      <c r="M180" s="90"/>
      <c r="N180" s="88"/>
      <c r="O180" s="110"/>
      <c r="P180" s="91"/>
      <c r="Q180" s="103"/>
      <c r="R180" s="113"/>
      <c r="S180" s="104"/>
      <c r="T180" s="113" t="s">
        <v>111</v>
      </c>
    </row>
    <row r="181" ht="27" hidden="1" spans="1:20">
      <c r="A181" s="9">
        <f t="shared" si="8"/>
        <v>180</v>
      </c>
      <c r="B181" s="70" t="s">
        <v>78</v>
      </c>
      <c r="C181" s="105" t="s">
        <v>656</v>
      </c>
      <c r="D181" s="105" t="s">
        <v>49</v>
      </c>
      <c r="E181" s="105" t="s">
        <v>659</v>
      </c>
      <c r="F181" s="73"/>
      <c r="G181" s="70"/>
      <c r="H181" s="73"/>
      <c r="I181" s="109"/>
      <c r="J181" s="109"/>
      <c r="K181" s="89" t="s">
        <v>406</v>
      </c>
      <c r="L181" s="88"/>
      <c r="M181" s="90"/>
      <c r="N181" s="88"/>
      <c r="O181" s="110"/>
      <c r="P181" s="91"/>
      <c r="Q181" s="103"/>
      <c r="R181" s="113"/>
      <c r="S181" s="104"/>
      <c r="T181" s="113" t="s">
        <v>85</v>
      </c>
    </row>
    <row r="182" ht="27" hidden="1" spans="1:20">
      <c r="A182" s="9">
        <f t="shared" si="8"/>
        <v>181</v>
      </c>
      <c r="B182" s="70" t="s">
        <v>78</v>
      </c>
      <c r="C182" s="105" t="s">
        <v>656</v>
      </c>
      <c r="D182" s="70" t="s">
        <v>49</v>
      </c>
      <c r="E182" s="70" t="s">
        <v>660</v>
      </c>
      <c r="F182" s="73"/>
      <c r="G182" s="70"/>
      <c r="H182" s="73"/>
      <c r="I182" s="109"/>
      <c r="J182" s="109"/>
      <c r="K182" s="89" t="s">
        <v>406</v>
      </c>
      <c r="L182" s="88"/>
      <c r="M182" s="90"/>
      <c r="N182" s="88"/>
      <c r="O182" s="110"/>
      <c r="P182" s="91"/>
      <c r="Q182" s="103"/>
      <c r="R182" s="113"/>
      <c r="S182" s="104"/>
      <c r="T182" s="113" t="s">
        <v>85</v>
      </c>
    </row>
    <row r="183" ht="38.25" hidden="1" customHeight="1" spans="1:20">
      <c r="A183" s="9">
        <f t="shared" si="8"/>
        <v>182</v>
      </c>
      <c r="B183" s="70" t="s">
        <v>78</v>
      </c>
      <c r="C183" s="105" t="s">
        <v>656</v>
      </c>
      <c r="D183" s="70" t="s">
        <v>49</v>
      </c>
      <c r="E183" s="70" t="s">
        <v>661</v>
      </c>
      <c r="F183" s="73"/>
      <c r="G183" s="70"/>
      <c r="H183" s="73"/>
      <c r="I183" s="109"/>
      <c r="J183" s="109"/>
      <c r="K183" s="89" t="s">
        <v>406</v>
      </c>
      <c r="L183" s="88"/>
      <c r="M183" s="90"/>
      <c r="N183" s="88"/>
      <c r="O183" s="110"/>
      <c r="P183" s="91"/>
      <c r="Q183" s="103"/>
      <c r="R183" s="113"/>
      <c r="S183" s="104"/>
      <c r="T183" s="113" t="s">
        <v>111</v>
      </c>
    </row>
    <row r="184" ht="24.75" hidden="1" customHeight="1" spans="1:20">
      <c r="A184" s="9">
        <f t="shared" si="8"/>
        <v>183</v>
      </c>
      <c r="B184" s="70" t="s">
        <v>78</v>
      </c>
      <c r="C184" s="105" t="s">
        <v>656</v>
      </c>
      <c r="D184" s="70" t="s">
        <v>49</v>
      </c>
      <c r="E184" s="70" t="s">
        <v>662</v>
      </c>
      <c r="F184" s="73"/>
      <c r="G184" s="70"/>
      <c r="H184" s="73"/>
      <c r="I184" s="109"/>
      <c r="J184" s="109"/>
      <c r="K184" s="89" t="s">
        <v>406</v>
      </c>
      <c r="L184" s="88"/>
      <c r="M184" s="90"/>
      <c r="N184" s="88"/>
      <c r="O184" s="110"/>
      <c r="P184" s="91"/>
      <c r="Q184" s="103"/>
      <c r="R184" s="113"/>
      <c r="S184" s="104"/>
      <c r="T184" s="113" t="s">
        <v>111</v>
      </c>
    </row>
    <row r="185" ht="30.75" hidden="1" customHeight="1" spans="1:20">
      <c r="A185" s="9">
        <f t="shared" si="8"/>
        <v>184</v>
      </c>
      <c r="B185" s="70" t="s">
        <v>78</v>
      </c>
      <c r="C185" s="105" t="s">
        <v>656</v>
      </c>
      <c r="D185" s="70" t="s">
        <v>49</v>
      </c>
      <c r="E185" s="70" t="s">
        <v>663</v>
      </c>
      <c r="F185" s="73"/>
      <c r="G185" s="70"/>
      <c r="H185" s="73"/>
      <c r="I185" s="109"/>
      <c r="J185" s="109"/>
      <c r="K185" s="89" t="s">
        <v>406</v>
      </c>
      <c r="L185" s="88" t="s">
        <v>664</v>
      </c>
      <c r="M185" s="90"/>
      <c r="N185" s="88"/>
      <c r="O185" s="110"/>
      <c r="P185" s="91"/>
      <c r="Q185" s="103"/>
      <c r="R185" s="113"/>
      <c r="S185" s="104"/>
      <c r="T185" s="113" t="s">
        <v>111</v>
      </c>
    </row>
    <row r="186" ht="42.75" hidden="1" customHeight="1" spans="1:20">
      <c r="A186" s="9">
        <f t="shared" si="8"/>
        <v>185</v>
      </c>
      <c r="B186" s="70" t="s">
        <v>78</v>
      </c>
      <c r="C186" s="105" t="s">
        <v>656</v>
      </c>
      <c r="D186" s="70" t="s">
        <v>49</v>
      </c>
      <c r="E186" s="70" t="s">
        <v>665</v>
      </c>
      <c r="F186" s="73"/>
      <c r="G186" s="70"/>
      <c r="H186" s="73"/>
      <c r="I186" s="109"/>
      <c r="J186" s="109"/>
      <c r="K186" s="89" t="s">
        <v>406</v>
      </c>
      <c r="L186" s="88"/>
      <c r="M186" s="90"/>
      <c r="N186" s="88"/>
      <c r="O186" s="110"/>
      <c r="P186" s="91"/>
      <c r="Q186" s="103"/>
      <c r="R186" s="113"/>
      <c r="S186" s="104"/>
      <c r="T186" s="113" t="s">
        <v>111</v>
      </c>
    </row>
    <row r="187" ht="47.25" hidden="1" customHeight="1" spans="1:20">
      <c r="A187" s="9">
        <f t="shared" si="8"/>
        <v>186</v>
      </c>
      <c r="B187" s="72" t="s">
        <v>396</v>
      </c>
      <c r="C187" s="70" t="s">
        <v>656</v>
      </c>
      <c r="D187" s="70" t="s">
        <v>117</v>
      </c>
      <c r="E187" s="107" t="s">
        <v>666</v>
      </c>
      <c r="F187" s="73"/>
      <c r="G187" s="108">
        <v>43544</v>
      </c>
      <c r="H187" s="73" t="s">
        <v>364</v>
      </c>
      <c r="I187" s="109" t="s">
        <v>667</v>
      </c>
      <c r="J187" s="109" t="s">
        <v>88</v>
      </c>
      <c r="K187" s="89" t="s">
        <v>406</v>
      </c>
      <c r="L187" s="88"/>
      <c r="M187" s="90"/>
      <c r="N187" s="88"/>
      <c r="O187" s="112">
        <v>43544</v>
      </c>
      <c r="P187" s="91"/>
      <c r="Q187" s="103">
        <v>43544</v>
      </c>
      <c r="R187" s="103" t="s">
        <v>210</v>
      </c>
      <c r="S187" s="104"/>
      <c r="T187" s="113"/>
    </row>
    <row r="188" ht="42.75" hidden="1" customHeight="1" spans="1:20">
      <c r="A188" s="9">
        <f t="shared" si="8"/>
        <v>187</v>
      </c>
      <c r="B188" s="72" t="s">
        <v>396</v>
      </c>
      <c r="C188" s="70" t="s">
        <v>668</v>
      </c>
      <c r="D188" s="70" t="s">
        <v>49</v>
      </c>
      <c r="E188" s="70" t="s">
        <v>669</v>
      </c>
      <c r="F188" s="73"/>
      <c r="G188" s="70"/>
      <c r="H188" s="73" t="str">
        <f t="shared" ref="H188" si="9">IF(F188="","",IF(F188&lt;&gt;"","问题提交",IF(K188="","问题处理中","问题关闭")))</f>
        <v/>
      </c>
      <c r="I188" s="109"/>
      <c r="J188" s="109"/>
      <c r="K188" s="89" t="s">
        <v>406</v>
      </c>
      <c r="L188" s="88"/>
      <c r="M188" s="90"/>
      <c r="N188" s="88"/>
      <c r="O188" s="110"/>
      <c r="P188" s="91"/>
      <c r="Q188" s="103"/>
      <c r="R188" s="113"/>
      <c r="S188" s="104"/>
      <c r="T188" s="113" t="s">
        <v>111</v>
      </c>
    </row>
    <row r="189" ht="27" hidden="1" spans="1:20">
      <c r="A189" s="9">
        <f t="shared" si="8"/>
        <v>188</v>
      </c>
      <c r="B189" s="70" t="s">
        <v>78</v>
      </c>
      <c r="C189" s="70" t="s">
        <v>159</v>
      </c>
      <c r="D189" s="70"/>
      <c r="E189" s="70" t="s">
        <v>670</v>
      </c>
      <c r="F189" s="73">
        <v>43544</v>
      </c>
      <c r="G189" s="70"/>
      <c r="H189" s="73"/>
      <c r="I189" s="109"/>
      <c r="J189" s="109"/>
      <c r="K189" s="89" t="s">
        <v>406</v>
      </c>
      <c r="L189" s="88"/>
      <c r="M189" s="90"/>
      <c r="N189" s="88"/>
      <c r="O189" s="110"/>
      <c r="P189" s="91"/>
      <c r="Q189" s="103"/>
      <c r="R189" s="113"/>
      <c r="S189" s="104"/>
      <c r="T189" s="113" t="s">
        <v>111</v>
      </c>
    </row>
    <row r="190" ht="33.75" hidden="1" customHeight="1" spans="1:20">
      <c r="A190" s="9">
        <f t="shared" si="8"/>
        <v>189</v>
      </c>
      <c r="B190" s="70" t="s">
        <v>78</v>
      </c>
      <c r="C190" s="70" t="s">
        <v>671</v>
      </c>
      <c r="D190" s="105"/>
      <c r="E190" s="105" t="s">
        <v>672</v>
      </c>
      <c r="F190" s="73">
        <v>43546</v>
      </c>
      <c r="G190" s="70"/>
      <c r="H190" s="73"/>
      <c r="I190" s="109"/>
      <c r="J190" s="109"/>
      <c r="K190" s="89" t="s">
        <v>406</v>
      </c>
      <c r="L190" s="88"/>
      <c r="M190" s="90"/>
      <c r="N190" s="88"/>
      <c r="O190" s="110"/>
      <c r="P190" s="91" t="s">
        <v>673</v>
      </c>
      <c r="Q190" s="103"/>
      <c r="R190" s="113"/>
      <c r="S190" s="104"/>
      <c r="T190" s="113" t="s">
        <v>111</v>
      </c>
    </row>
    <row r="191" ht="54" hidden="1" spans="1:20">
      <c r="A191" s="9">
        <f t="shared" si="8"/>
        <v>190</v>
      </c>
      <c r="B191" s="70" t="s">
        <v>78</v>
      </c>
      <c r="C191" s="70" t="s">
        <v>674</v>
      </c>
      <c r="D191" s="105" t="s">
        <v>48</v>
      </c>
      <c r="E191" s="105" t="s">
        <v>675</v>
      </c>
      <c r="F191" s="73">
        <v>43546</v>
      </c>
      <c r="G191" s="70"/>
      <c r="H191" s="73"/>
      <c r="I191" s="109"/>
      <c r="J191" s="109"/>
      <c r="K191" s="89" t="s">
        <v>406</v>
      </c>
      <c r="L191" s="88" t="s">
        <v>676</v>
      </c>
      <c r="M191" s="90"/>
      <c r="N191" s="88"/>
      <c r="O191" s="110"/>
      <c r="P191" s="91" t="s">
        <v>677</v>
      </c>
      <c r="Q191" s="103"/>
      <c r="R191" s="113"/>
      <c r="S191" s="104"/>
      <c r="T191" s="113" t="s">
        <v>111</v>
      </c>
    </row>
    <row r="192" ht="54" hidden="1" spans="1:20">
      <c r="A192" s="9">
        <f t="shared" si="8"/>
        <v>191</v>
      </c>
      <c r="B192" s="70" t="s">
        <v>78</v>
      </c>
      <c r="C192" s="70" t="s">
        <v>674</v>
      </c>
      <c r="D192" s="105" t="s">
        <v>48</v>
      </c>
      <c r="E192" s="105" t="s">
        <v>678</v>
      </c>
      <c r="F192" s="73">
        <v>43546</v>
      </c>
      <c r="G192" s="70"/>
      <c r="H192" s="73"/>
      <c r="I192" s="109"/>
      <c r="J192" s="109"/>
      <c r="K192" s="89" t="s">
        <v>406</v>
      </c>
      <c r="L192" s="88" t="s">
        <v>679</v>
      </c>
      <c r="M192" s="90"/>
      <c r="N192" s="88"/>
      <c r="O192" s="110"/>
      <c r="P192" s="91" t="s">
        <v>677</v>
      </c>
      <c r="Q192" s="103"/>
      <c r="R192" s="113"/>
      <c r="S192" s="104"/>
      <c r="T192" s="113" t="s">
        <v>111</v>
      </c>
    </row>
    <row r="193" ht="81" hidden="1" spans="1:20">
      <c r="A193" s="9">
        <f t="shared" si="8"/>
        <v>192</v>
      </c>
      <c r="B193" s="70" t="s">
        <v>78</v>
      </c>
      <c r="C193" s="70" t="s">
        <v>674</v>
      </c>
      <c r="D193" s="105" t="s">
        <v>49</v>
      </c>
      <c r="E193" s="105" t="s">
        <v>680</v>
      </c>
      <c r="F193" s="73">
        <v>43546</v>
      </c>
      <c r="G193" s="70"/>
      <c r="H193" s="73"/>
      <c r="I193" s="109"/>
      <c r="J193" s="109"/>
      <c r="K193" s="89" t="s">
        <v>406</v>
      </c>
      <c r="L193" s="88" t="s">
        <v>681</v>
      </c>
      <c r="M193" s="90"/>
      <c r="N193" s="88"/>
      <c r="O193" s="110"/>
      <c r="P193" s="91" t="s">
        <v>599</v>
      </c>
      <c r="Q193" s="103"/>
      <c r="R193" s="113"/>
      <c r="S193" s="104"/>
      <c r="T193" s="113" t="s">
        <v>111</v>
      </c>
    </row>
    <row r="194" ht="27" hidden="1" spans="1:20">
      <c r="A194" s="9">
        <f t="shared" si="8"/>
        <v>193</v>
      </c>
      <c r="B194" s="70" t="s">
        <v>78</v>
      </c>
      <c r="C194" s="70" t="s">
        <v>682</v>
      </c>
      <c r="D194" s="105" t="s">
        <v>48</v>
      </c>
      <c r="E194" s="105" t="s">
        <v>683</v>
      </c>
      <c r="F194" s="73">
        <v>43546</v>
      </c>
      <c r="G194" s="70"/>
      <c r="H194" s="73"/>
      <c r="I194" s="109"/>
      <c r="J194" s="109"/>
      <c r="K194" s="89" t="s">
        <v>406</v>
      </c>
      <c r="L194" s="88" t="s">
        <v>684</v>
      </c>
      <c r="M194" s="90"/>
      <c r="N194" s="88"/>
      <c r="O194" s="110"/>
      <c r="P194" s="91" t="s">
        <v>685</v>
      </c>
      <c r="Q194" s="103"/>
      <c r="R194" s="113"/>
      <c r="S194" s="104"/>
      <c r="T194" s="113" t="s">
        <v>111</v>
      </c>
    </row>
    <row r="195" ht="27" hidden="1" spans="1:20">
      <c r="A195" s="9">
        <f t="shared" ref="A195:A224" si="10">ROW()-1</f>
        <v>194</v>
      </c>
      <c r="B195" s="70" t="s">
        <v>78</v>
      </c>
      <c r="C195" s="70" t="s">
        <v>682</v>
      </c>
      <c r="D195" s="105" t="s">
        <v>48</v>
      </c>
      <c r="E195" s="105" t="s">
        <v>686</v>
      </c>
      <c r="F195" s="73">
        <v>43546</v>
      </c>
      <c r="G195" s="70"/>
      <c r="H195" s="73"/>
      <c r="I195" s="109"/>
      <c r="J195" s="109"/>
      <c r="K195" s="89" t="s">
        <v>406</v>
      </c>
      <c r="L195" s="88" t="s">
        <v>687</v>
      </c>
      <c r="M195" s="90"/>
      <c r="N195" s="88"/>
      <c r="O195" s="110"/>
      <c r="P195" s="91" t="s">
        <v>685</v>
      </c>
      <c r="Q195" s="103"/>
      <c r="R195" s="113"/>
      <c r="S195" s="104"/>
      <c r="T195" s="113" t="s">
        <v>111</v>
      </c>
    </row>
    <row r="196" ht="54" hidden="1" spans="1:20">
      <c r="A196" s="9">
        <f t="shared" si="10"/>
        <v>195</v>
      </c>
      <c r="B196" s="70" t="s">
        <v>78</v>
      </c>
      <c r="C196" s="70" t="s">
        <v>674</v>
      </c>
      <c r="D196" s="105" t="s">
        <v>49</v>
      </c>
      <c r="E196" s="105" t="s">
        <v>688</v>
      </c>
      <c r="F196" s="73">
        <v>43546</v>
      </c>
      <c r="G196" s="70"/>
      <c r="H196" s="73"/>
      <c r="I196" s="109"/>
      <c r="J196" s="109"/>
      <c r="K196" s="89" t="s">
        <v>406</v>
      </c>
      <c r="L196" s="88" t="s">
        <v>689</v>
      </c>
      <c r="M196" s="90"/>
      <c r="N196" s="88"/>
      <c r="O196" s="110"/>
      <c r="P196" s="91" t="s">
        <v>495</v>
      </c>
      <c r="Q196" s="103"/>
      <c r="R196" s="113"/>
      <c r="S196" s="104"/>
      <c r="T196" s="113" t="s">
        <v>111</v>
      </c>
    </row>
    <row r="197" ht="40.5" hidden="1" spans="1:20">
      <c r="A197" s="9">
        <f t="shared" si="10"/>
        <v>196</v>
      </c>
      <c r="B197" s="70" t="s">
        <v>78</v>
      </c>
      <c r="C197" s="70" t="s">
        <v>674</v>
      </c>
      <c r="D197" s="105" t="s">
        <v>49</v>
      </c>
      <c r="E197" s="105" t="s">
        <v>690</v>
      </c>
      <c r="F197" s="73">
        <v>43546</v>
      </c>
      <c r="G197" s="70"/>
      <c r="H197" s="73"/>
      <c r="I197" s="109"/>
      <c r="J197" s="109"/>
      <c r="K197" s="89" t="s">
        <v>406</v>
      </c>
      <c r="L197" s="88" t="s">
        <v>691</v>
      </c>
      <c r="M197" s="90"/>
      <c r="N197" s="88"/>
      <c r="O197" s="110"/>
      <c r="P197" s="91" t="s">
        <v>495</v>
      </c>
      <c r="Q197" s="103"/>
      <c r="R197" s="113"/>
      <c r="S197" s="104"/>
      <c r="T197" s="113" t="s">
        <v>111</v>
      </c>
    </row>
    <row r="198" ht="40.5" hidden="1" spans="1:20">
      <c r="A198" s="9">
        <f t="shared" si="10"/>
        <v>197</v>
      </c>
      <c r="B198" s="70" t="s">
        <v>78</v>
      </c>
      <c r="C198" s="70" t="s">
        <v>674</v>
      </c>
      <c r="D198" s="105" t="s">
        <v>49</v>
      </c>
      <c r="E198" s="105" t="s">
        <v>692</v>
      </c>
      <c r="F198" s="73">
        <v>43546</v>
      </c>
      <c r="G198" s="70"/>
      <c r="H198" s="73"/>
      <c r="I198" s="109"/>
      <c r="J198" s="109"/>
      <c r="K198" s="89" t="s">
        <v>406</v>
      </c>
      <c r="L198" s="88" t="s">
        <v>693</v>
      </c>
      <c r="M198" s="90"/>
      <c r="N198" s="88"/>
      <c r="O198" s="110"/>
      <c r="P198" s="91" t="s">
        <v>495</v>
      </c>
      <c r="Q198" s="103"/>
      <c r="R198" s="113"/>
      <c r="S198" s="104"/>
      <c r="T198" s="113" t="s">
        <v>111</v>
      </c>
    </row>
    <row r="199" ht="27" hidden="1" spans="1:20">
      <c r="A199" s="9">
        <f t="shared" si="10"/>
        <v>198</v>
      </c>
      <c r="B199" s="70" t="s">
        <v>78</v>
      </c>
      <c r="C199" s="70" t="s">
        <v>682</v>
      </c>
      <c r="D199" s="105" t="s">
        <v>48</v>
      </c>
      <c r="E199" s="105" t="s">
        <v>694</v>
      </c>
      <c r="F199" s="73">
        <v>43546</v>
      </c>
      <c r="G199" s="70"/>
      <c r="H199" s="73"/>
      <c r="I199" s="109"/>
      <c r="J199" s="109"/>
      <c r="K199" s="89" t="s">
        <v>406</v>
      </c>
      <c r="L199" s="88" t="s">
        <v>695</v>
      </c>
      <c r="M199" s="90"/>
      <c r="N199" s="88"/>
      <c r="O199" s="110"/>
      <c r="P199" s="91" t="s">
        <v>495</v>
      </c>
      <c r="Q199" s="103"/>
      <c r="R199" s="113"/>
      <c r="S199" s="104"/>
      <c r="T199" s="113" t="s">
        <v>111</v>
      </c>
    </row>
    <row r="200" ht="54" hidden="1" spans="1:20">
      <c r="A200" s="9">
        <f t="shared" si="10"/>
        <v>199</v>
      </c>
      <c r="B200" s="70" t="s">
        <v>78</v>
      </c>
      <c r="C200" s="70" t="s">
        <v>682</v>
      </c>
      <c r="D200" s="105" t="s">
        <v>49</v>
      </c>
      <c r="E200" s="105" t="s">
        <v>696</v>
      </c>
      <c r="F200" s="73">
        <v>43546</v>
      </c>
      <c r="G200" s="70"/>
      <c r="H200" s="73"/>
      <c r="I200" s="109"/>
      <c r="J200" s="109"/>
      <c r="K200" s="89" t="s">
        <v>406</v>
      </c>
      <c r="L200" s="88" t="s">
        <v>697</v>
      </c>
      <c r="M200" s="90"/>
      <c r="N200" s="88"/>
      <c r="O200" s="110"/>
      <c r="P200" s="91" t="s">
        <v>495</v>
      </c>
      <c r="Q200" s="103"/>
      <c r="R200" s="113"/>
      <c r="S200" s="104"/>
      <c r="T200" s="113" t="s">
        <v>111</v>
      </c>
    </row>
    <row r="201" ht="27" hidden="1" spans="1:20">
      <c r="A201" s="9">
        <f t="shared" si="10"/>
        <v>200</v>
      </c>
      <c r="B201" s="70" t="s">
        <v>78</v>
      </c>
      <c r="C201" s="70" t="s">
        <v>682</v>
      </c>
      <c r="D201" s="105" t="s">
        <v>48</v>
      </c>
      <c r="E201" s="105" t="s">
        <v>698</v>
      </c>
      <c r="F201" s="73">
        <v>43546</v>
      </c>
      <c r="G201" s="70"/>
      <c r="H201" s="73"/>
      <c r="I201" s="109"/>
      <c r="J201" s="109"/>
      <c r="K201" s="89" t="s">
        <v>406</v>
      </c>
      <c r="L201" s="88" t="s">
        <v>699</v>
      </c>
      <c r="M201" s="90"/>
      <c r="N201" s="88"/>
      <c r="O201" s="110"/>
      <c r="P201" s="91" t="s">
        <v>495</v>
      </c>
      <c r="Q201" s="103"/>
      <c r="R201" s="113"/>
      <c r="S201" s="104"/>
      <c r="T201" s="113" t="s">
        <v>111</v>
      </c>
    </row>
    <row r="202" ht="27" hidden="1" spans="1:20">
      <c r="A202" s="9">
        <f t="shared" si="10"/>
        <v>201</v>
      </c>
      <c r="B202" s="70" t="s">
        <v>78</v>
      </c>
      <c r="C202" s="70" t="s">
        <v>682</v>
      </c>
      <c r="D202" s="105" t="s">
        <v>48</v>
      </c>
      <c r="E202" s="105" t="s">
        <v>700</v>
      </c>
      <c r="F202" s="73">
        <v>43546</v>
      </c>
      <c r="G202" s="70"/>
      <c r="H202" s="73"/>
      <c r="I202" s="109"/>
      <c r="J202" s="109"/>
      <c r="K202" s="89" t="s">
        <v>406</v>
      </c>
      <c r="L202" s="88" t="s">
        <v>701</v>
      </c>
      <c r="M202" s="90"/>
      <c r="N202" s="88"/>
      <c r="O202" s="110"/>
      <c r="P202" s="91" t="s">
        <v>495</v>
      </c>
      <c r="Q202" s="103"/>
      <c r="R202" s="113"/>
      <c r="S202" s="104"/>
      <c r="T202" s="113" t="s">
        <v>111</v>
      </c>
    </row>
    <row r="203" ht="40.5" hidden="1" spans="1:20">
      <c r="A203" s="9">
        <f t="shared" si="10"/>
        <v>202</v>
      </c>
      <c r="B203" s="70" t="s">
        <v>78</v>
      </c>
      <c r="C203" s="70" t="s">
        <v>682</v>
      </c>
      <c r="D203" s="70" t="s">
        <v>47</v>
      </c>
      <c r="E203" s="70" t="s">
        <v>702</v>
      </c>
      <c r="F203" s="73">
        <v>43546</v>
      </c>
      <c r="G203" s="70"/>
      <c r="H203" s="73"/>
      <c r="I203" s="109"/>
      <c r="J203" s="109"/>
      <c r="K203" s="89" t="s">
        <v>406</v>
      </c>
      <c r="L203" s="88"/>
      <c r="M203" s="90"/>
      <c r="N203" s="88"/>
      <c r="O203" s="110"/>
      <c r="P203" s="91" t="s">
        <v>495</v>
      </c>
      <c r="Q203" s="103"/>
      <c r="R203" s="113"/>
      <c r="S203" s="104"/>
      <c r="T203" s="113" t="s">
        <v>85</v>
      </c>
    </row>
    <row r="204" ht="27" hidden="1" spans="1:20">
      <c r="A204" s="9">
        <f t="shared" si="10"/>
        <v>203</v>
      </c>
      <c r="B204" s="70" t="s">
        <v>78</v>
      </c>
      <c r="C204" s="70" t="s">
        <v>682</v>
      </c>
      <c r="D204" s="105" t="s">
        <v>49</v>
      </c>
      <c r="E204" s="105" t="s">
        <v>703</v>
      </c>
      <c r="F204" s="73">
        <v>43546</v>
      </c>
      <c r="G204" s="70"/>
      <c r="H204" s="73"/>
      <c r="I204" s="109"/>
      <c r="J204" s="109"/>
      <c r="K204" s="89" t="s">
        <v>406</v>
      </c>
      <c r="L204" s="88" t="s">
        <v>704</v>
      </c>
      <c r="M204" s="90"/>
      <c r="N204" s="88"/>
      <c r="O204" s="110"/>
      <c r="P204" s="91" t="s">
        <v>495</v>
      </c>
      <c r="Q204" s="103"/>
      <c r="R204" s="113"/>
      <c r="S204" s="104"/>
      <c r="T204" s="113" t="s">
        <v>111</v>
      </c>
    </row>
    <row r="205" ht="54" hidden="1" spans="1:20">
      <c r="A205" s="9">
        <f t="shared" si="10"/>
        <v>204</v>
      </c>
      <c r="B205" s="70" t="s">
        <v>78</v>
      </c>
      <c r="C205" s="105" t="s">
        <v>705</v>
      </c>
      <c r="D205" s="70" t="s">
        <v>47</v>
      </c>
      <c r="E205" s="70" t="s">
        <v>706</v>
      </c>
      <c r="F205" s="73">
        <v>43546</v>
      </c>
      <c r="G205" s="70"/>
      <c r="H205" s="73"/>
      <c r="I205" s="109"/>
      <c r="J205" s="109"/>
      <c r="K205" s="89" t="s">
        <v>406</v>
      </c>
      <c r="L205" s="88" t="s">
        <v>707</v>
      </c>
      <c r="M205" s="90"/>
      <c r="N205" s="88"/>
      <c r="O205" s="110"/>
      <c r="P205" s="91" t="s">
        <v>495</v>
      </c>
      <c r="Q205" s="103"/>
      <c r="R205" s="113"/>
      <c r="S205" s="104"/>
      <c r="T205" s="113" t="s">
        <v>85</v>
      </c>
    </row>
    <row r="206" ht="40.5" hidden="1" spans="1:20">
      <c r="A206" s="9">
        <f t="shared" si="10"/>
        <v>205</v>
      </c>
      <c r="B206" s="70" t="s">
        <v>78</v>
      </c>
      <c r="C206" s="105" t="s">
        <v>708</v>
      </c>
      <c r="D206" s="70" t="s">
        <v>47</v>
      </c>
      <c r="E206" s="70" t="s">
        <v>709</v>
      </c>
      <c r="F206" s="73">
        <v>43546</v>
      </c>
      <c r="G206" s="70"/>
      <c r="H206" s="73"/>
      <c r="I206" s="109"/>
      <c r="J206" s="109"/>
      <c r="K206" s="89" t="s">
        <v>406</v>
      </c>
      <c r="L206" s="88" t="s">
        <v>710</v>
      </c>
      <c r="M206" s="90"/>
      <c r="N206" s="88"/>
      <c r="O206" s="110"/>
      <c r="P206" s="91" t="s">
        <v>495</v>
      </c>
      <c r="Q206" s="103"/>
      <c r="R206" s="113"/>
      <c r="S206" s="104"/>
      <c r="T206" s="113" t="s">
        <v>85</v>
      </c>
    </row>
    <row r="207" ht="54" hidden="1" spans="1:20">
      <c r="A207" s="9">
        <f t="shared" si="10"/>
        <v>206</v>
      </c>
      <c r="B207" s="70" t="s">
        <v>78</v>
      </c>
      <c r="C207" s="105" t="s">
        <v>711</v>
      </c>
      <c r="D207" s="70" t="s">
        <v>49</v>
      </c>
      <c r="E207" s="70" t="s">
        <v>712</v>
      </c>
      <c r="F207" s="73">
        <v>43546</v>
      </c>
      <c r="G207" s="70"/>
      <c r="H207" s="73"/>
      <c r="I207" s="109"/>
      <c r="J207" s="109"/>
      <c r="K207" s="89" t="s">
        <v>406</v>
      </c>
      <c r="L207" s="88" t="s">
        <v>713</v>
      </c>
      <c r="M207" s="90"/>
      <c r="N207" s="88"/>
      <c r="O207" s="110"/>
      <c r="P207" s="91" t="s">
        <v>495</v>
      </c>
      <c r="Q207" s="103"/>
      <c r="R207" s="113"/>
      <c r="S207" s="104"/>
      <c r="T207" s="113" t="s">
        <v>111</v>
      </c>
    </row>
    <row r="208" ht="54" hidden="1" spans="1:20">
      <c r="A208" s="9">
        <f t="shared" si="10"/>
        <v>207</v>
      </c>
      <c r="B208" s="70" t="s">
        <v>78</v>
      </c>
      <c r="C208" s="105" t="s">
        <v>711</v>
      </c>
      <c r="D208" s="70" t="s">
        <v>47</v>
      </c>
      <c r="E208" s="70" t="s">
        <v>714</v>
      </c>
      <c r="F208" s="73">
        <v>43546</v>
      </c>
      <c r="G208" s="70"/>
      <c r="H208" s="73"/>
      <c r="I208" s="109"/>
      <c r="J208" s="109"/>
      <c r="K208" s="89" t="s">
        <v>406</v>
      </c>
      <c r="L208" s="88" t="s">
        <v>707</v>
      </c>
      <c r="M208" s="90"/>
      <c r="N208" s="88"/>
      <c r="O208" s="110"/>
      <c r="P208" s="91" t="s">
        <v>495</v>
      </c>
      <c r="Q208" s="103"/>
      <c r="R208" s="113"/>
      <c r="S208" s="104"/>
      <c r="T208" s="113" t="s">
        <v>111</v>
      </c>
    </row>
    <row r="209" ht="27" hidden="1" spans="1:20">
      <c r="A209" s="9">
        <f t="shared" si="10"/>
        <v>208</v>
      </c>
      <c r="B209" s="70" t="s">
        <v>78</v>
      </c>
      <c r="C209" s="105" t="s">
        <v>711</v>
      </c>
      <c r="D209" s="70" t="s">
        <v>47</v>
      </c>
      <c r="E209" s="70" t="s">
        <v>715</v>
      </c>
      <c r="F209" s="73">
        <v>43546</v>
      </c>
      <c r="G209" s="70"/>
      <c r="H209" s="73"/>
      <c r="I209" s="109"/>
      <c r="J209" s="109"/>
      <c r="K209" s="89" t="s">
        <v>406</v>
      </c>
      <c r="L209" s="88"/>
      <c r="M209" s="90"/>
      <c r="N209" s="88"/>
      <c r="O209" s="110"/>
      <c r="P209" s="91" t="s">
        <v>495</v>
      </c>
      <c r="Q209" s="103"/>
      <c r="R209" s="113"/>
      <c r="S209" s="104"/>
      <c r="T209" s="113" t="s">
        <v>85</v>
      </c>
    </row>
    <row r="210" ht="40.5" hidden="1" spans="1:20">
      <c r="A210" s="9">
        <f t="shared" si="10"/>
        <v>209</v>
      </c>
      <c r="B210" s="70" t="s">
        <v>78</v>
      </c>
      <c r="C210" s="105" t="s">
        <v>711</v>
      </c>
      <c r="D210" s="114" t="s">
        <v>47</v>
      </c>
      <c r="E210" s="70" t="s">
        <v>716</v>
      </c>
      <c r="F210" s="73">
        <v>43546</v>
      </c>
      <c r="G210" s="70"/>
      <c r="H210" s="73"/>
      <c r="I210" s="109"/>
      <c r="J210" s="109"/>
      <c r="K210" s="89" t="s">
        <v>406</v>
      </c>
      <c r="L210" s="116" t="s">
        <v>717</v>
      </c>
      <c r="M210" s="90"/>
      <c r="N210" s="88"/>
      <c r="O210" s="110"/>
      <c r="P210" s="91" t="s">
        <v>495</v>
      </c>
      <c r="Q210" s="103"/>
      <c r="R210" s="113"/>
      <c r="S210" s="104"/>
      <c r="T210" s="119" t="s">
        <v>85</v>
      </c>
    </row>
    <row r="211" ht="40.5" hidden="1" spans="1:20">
      <c r="A211" s="9">
        <f t="shared" si="10"/>
        <v>210</v>
      </c>
      <c r="B211" s="70" t="s">
        <v>78</v>
      </c>
      <c r="C211" s="105" t="s">
        <v>711</v>
      </c>
      <c r="D211" s="115"/>
      <c r="E211" s="70" t="s">
        <v>718</v>
      </c>
      <c r="F211" s="73">
        <v>43546</v>
      </c>
      <c r="G211" s="70"/>
      <c r="H211" s="73"/>
      <c r="I211" s="109"/>
      <c r="J211" s="109"/>
      <c r="K211" s="89" t="s">
        <v>406</v>
      </c>
      <c r="L211" s="117"/>
      <c r="M211" s="90"/>
      <c r="N211" s="88"/>
      <c r="O211" s="110"/>
      <c r="P211" s="91" t="s">
        <v>495</v>
      </c>
      <c r="Q211" s="103"/>
      <c r="R211" s="113"/>
      <c r="S211" s="104"/>
      <c r="T211" s="120"/>
    </row>
    <row r="212" ht="27" hidden="1" spans="1:20">
      <c r="A212" s="9">
        <f t="shared" si="10"/>
        <v>211</v>
      </c>
      <c r="B212" s="70" t="s">
        <v>78</v>
      </c>
      <c r="C212" s="105" t="s">
        <v>711</v>
      </c>
      <c r="D212" s="107"/>
      <c r="E212" s="70" t="s">
        <v>719</v>
      </c>
      <c r="F212" s="73">
        <v>43546</v>
      </c>
      <c r="G212" s="70"/>
      <c r="H212" s="73"/>
      <c r="I212" s="109"/>
      <c r="J212" s="109"/>
      <c r="K212" s="89" t="s">
        <v>406</v>
      </c>
      <c r="L212" s="118"/>
      <c r="M212" s="90"/>
      <c r="N212" s="88"/>
      <c r="O212" s="110"/>
      <c r="P212" s="91" t="s">
        <v>495</v>
      </c>
      <c r="Q212" s="103"/>
      <c r="R212" s="113"/>
      <c r="S212" s="104"/>
      <c r="T212" s="121"/>
    </row>
    <row r="213" ht="40.5" hidden="1" spans="1:20">
      <c r="A213" s="9">
        <f t="shared" si="10"/>
        <v>212</v>
      </c>
      <c r="B213" s="70" t="s">
        <v>78</v>
      </c>
      <c r="C213" s="105" t="s">
        <v>711</v>
      </c>
      <c r="D213" s="70" t="s">
        <v>47</v>
      </c>
      <c r="E213" s="70" t="s">
        <v>720</v>
      </c>
      <c r="F213" s="73">
        <v>43546</v>
      </c>
      <c r="G213" s="70"/>
      <c r="H213" s="73"/>
      <c r="I213" s="109"/>
      <c r="J213" s="109"/>
      <c r="K213" s="89" t="s">
        <v>406</v>
      </c>
      <c r="L213" s="88"/>
      <c r="M213" s="90"/>
      <c r="N213" s="88"/>
      <c r="O213" s="110"/>
      <c r="P213" s="91" t="s">
        <v>495</v>
      </c>
      <c r="Q213" s="103"/>
      <c r="R213" s="113"/>
      <c r="S213" s="104"/>
      <c r="T213" s="113" t="s">
        <v>85</v>
      </c>
    </row>
    <row r="214" ht="27" hidden="1" spans="1:20">
      <c r="A214" s="9">
        <f t="shared" si="10"/>
        <v>213</v>
      </c>
      <c r="B214" s="70" t="s">
        <v>78</v>
      </c>
      <c r="C214" s="105" t="s">
        <v>711</v>
      </c>
      <c r="D214" s="70" t="s">
        <v>48</v>
      </c>
      <c r="E214" s="70" t="s">
        <v>721</v>
      </c>
      <c r="F214" s="73">
        <v>43546</v>
      </c>
      <c r="G214" s="70"/>
      <c r="H214" s="73"/>
      <c r="I214" s="109"/>
      <c r="J214" s="109"/>
      <c r="K214" s="89" t="s">
        <v>406</v>
      </c>
      <c r="L214" s="88" t="s">
        <v>701</v>
      </c>
      <c r="M214" s="90"/>
      <c r="N214" s="88"/>
      <c r="O214" s="110"/>
      <c r="P214" s="91" t="s">
        <v>495</v>
      </c>
      <c r="Q214" s="103"/>
      <c r="R214" s="113"/>
      <c r="S214" s="104"/>
      <c r="T214" s="113" t="s">
        <v>111</v>
      </c>
    </row>
    <row r="215" ht="40.5" hidden="1" spans="1:20">
      <c r="A215" s="9">
        <f t="shared" si="10"/>
        <v>214</v>
      </c>
      <c r="B215" s="70" t="s">
        <v>78</v>
      </c>
      <c r="C215" s="105" t="s">
        <v>711</v>
      </c>
      <c r="D215" s="70" t="s">
        <v>49</v>
      </c>
      <c r="E215" s="70" t="s">
        <v>722</v>
      </c>
      <c r="F215" s="73">
        <v>43546</v>
      </c>
      <c r="G215" s="70"/>
      <c r="H215" s="73"/>
      <c r="I215" s="109"/>
      <c r="J215" s="109"/>
      <c r="K215" s="89" t="s">
        <v>406</v>
      </c>
      <c r="L215" s="88" t="s">
        <v>723</v>
      </c>
      <c r="M215" s="90"/>
      <c r="N215" s="88"/>
      <c r="O215" s="110"/>
      <c r="P215" s="91" t="s">
        <v>495</v>
      </c>
      <c r="Q215" s="103"/>
      <c r="R215" s="113"/>
      <c r="S215" s="104"/>
      <c r="T215" s="113" t="s">
        <v>85</v>
      </c>
    </row>
    <row r="216" ht="40.5" hidden="1" spans="1:20">
      <c r="A216" s="9">
        <f t="shared" si="10"/>
        <v>215</v>
      </c>
      <c r="B216" s="70" t="s">
        <v>78</v>
      </c>
      <c r="C216" s="105" t="s">
        <v>711</v>
      </c>
      <c r="D216" s="70" t="s">
        <v>47</v>
      </c>
      <c r="E216" s="70" t="s">
        <v>724</v>
      </c>
      <c r="F216" s="73">
        <v>43546</v>
      </c>
      <c r="G216" s="70"/>
      <c r="H216" s="73"/>
      <c r="I216" s="109"/>
      <c r="J216" s="109"/>
      <c r="K216" s="89" t="s">
        <v>406</v>
      </c>
      <c r="L216" s="88" t="s">
        <v>717</v>
      </c>
      <c r="M216" s="90"/>
      <c r="N216" s="88"/>
      <c r="O216" s="110"/>
      <c r="P216" s="91" t="s">
        <v>495</v>
      </c>
      <c r="Q216" s="103"/>
      <c r="R216" s="113"/>
      <c r="S216" s="104"/>
      <c r="T216" s="113" t="s">
        <v>85</v>
      </c>
    </row>
    <row r="217" ht="40.5" hidden="1" spans="1:20">
      <c r="A217" s="9">
        <f t="shared" si="10"/>
        <v>216</v>
      </c>
      <c r="B217" s="70" t="s">
        <v>78</v>
      </c>
      <c r="C217" s="105" t="s">
        <v>711</v>
      </c>
      <c r="D217" s="70" t="s">
        <v>47</v>
      </c>
      <c r="E217" s="70" t="s">
        <v>725</v>
      </c>
      <c r="F217" s="73">
        <v>43546</v>
      </c>
      <c r="G217" s="70"/>
      <c r="H217" s="73"/>
      <c r="I217" s="109"/>
      <c r="J217" s="109"/>
      <c r="K217" s="89" t="s">
        <v>406</v>
      </c>
      <c r="L217" s="88" t="s">
        <v>717</v>
      </c>
      <c r="M217" s="90"/>
      <c r="N217" s="88"/>
      <c r="O217" s="110"/>
      <c r="P217" s="91" t="s">
        <v>495</v>
      </c>
      <c r="Q217" s="103"/>
      <c r="R217" s="113"/>
      <c r="S217" s="104"/>
      <c r="T217" s="113" t="s">
        <v>85</v>
      </c>
    </row>
    <row r="218" ht="36" hidden="1" customHeight="1" spans="1:20">
      <c r="A218" s="9">
        <f t="shared" si="10"/>
        <v>217</v>
      </c>
      <c r="B218" s="70" t="s">
        <v>78</v>
      </c>
      <c r="C218" s="105" t="s">
        <v>711</v>
      </c>
      <c r="D218" s="70" t="s">
        <v>47</v>
      </c>
      <c r="E218" s="70" t="s">
        <v>726</v>
      </c>
      <c r="F218" s="73">
        <v>43546</v>
      </c>
      <c r="G218" s="70"/>
      <c r="H218" s="73"/>
      <c r="I218" s="109"/>
      <c r="J218" s="109"/>
      <c r="K218" s="89" t="s">
        <v>406</v>
      </c>
      <c r="L218" s="88"/>
      <c r="M218" s="90"/>
      <c r="N218" s="88"/>
      <c r="O218" s="110"/>
      <c r="P218" s="91" t="s">
        <v>495</v>
      </c>
      <c r="Q218" s="103"/>
      <c r="R218" s="113"/>
      <c r="S218" s="104"/>
      <c r="T218" s="113" t="s">
        <v>85</v>
      </c>
    </row>
    <row r="219" ht="54" hidden="1" spans="1:20">
      <c r="A219" s="9">
        <f t="shared" si="10"/>
        <v>218</v>
      </c>
      <c r="B219" s="70" t="s">
        <v>78</v>
      </c>
      <c r="C219" s="70" t="s">
        <v>711</v>
      </c>
      <c r="D219" s="70" t="s">
        <v>49</v>
      </c>
      <c r="E219" s="70" t="s">
        <v>727</v>
      </c>
      <c r="F219" s="73">
        <v>43546</v>
      </c>
      <c r="G219" s="70"/>
      <c r="H219" s="73"/>
      <c r="I219" s="109"/>
      <c r="J219" s="109"/>
      <c r="K219" s="89" t="s">
        <v>406</v>
      </c>
      <c r="L219" s="88" t="s">
        <v>713</v>
      </c>
      <c r="M219" s="90"/>
      <c r="N219" s="88"/>
      <c r="O219" s="110"/>
      <c r="P219" s="91" t="s">
        <v>495</v>
      </c>
      <c r="Q219" s="103"/>
      <c r="R219" s="113"/>
      <c r="S219" s="104"/>
      <c r="T219" s="113" t="s">
        <v>111</v>
      </c>
    </row>
    <row r="220" ht="40.5" hidden="1" spans="1:20">
      <c r="A220" s="9">
        <f t="shared" si="10"/>
        <v>219</v>
      </c>
      <c r="B220" s="70" t="s">
        <v>78</v>
      </c>
      <c r="C220" s="70" t="s">
        <v>711</v>
      </c>
      <c r="D220" s="70" t="s">
        <v>47</v>
      </c>
      <c r="E220" s="70" t="s">
        <v>728</v>
      </c>
      <c r="F220" s="73">
        <v>43546</v>
      </c>
      <c r="G220" s="70"/>
      <c r="H220" s="73"/>
      <c r="I220" s="109"/>
      <c r="J220" s="109"/>
      <c r="K220" s="89" t="s">
        <v>406</v>
      </c>
      <c r="L220" s="88" t="s">
        <v>717</v>
      </c>
      <c r="M220" s="90"/>
      <c r="N220" s="88"/>
      <c r="O220" s="110"/>
      <c r="P220" s="91" t="s">
        <v>495</v>
      </c>
      <c r="Q220" s="103"/>
      <c r="R220" s="113"/>
      <c r="S220" s="104"/>
      <c r="T220" s="113" t="s">
        <v>85</v>
      </c>
    </row>
    <row r="221" ht="40.5" hidden="1" spans="1:20">
      <c r="A221" s="9">
        <f t="shared" si="10"/>
        <v>220</v>
      </c>
      <c r="B221" s="70" t="s">
        <v>78</v>
      </c>
      <c r="C221" s="70" t="s">
        <v>729</v>
      </c>
      <c r="D221" s="70" t="s">
        <v>48</v>
      </c>
      <c r="E221" s="70" t="s">
        <v>730</v>
      </c>
      <c r="F221" s="73">
        <v>43546</v>
      </c>
      <c r="G221" s="70"/>
      <c r="H221" s="73"/>
      <c r="I221" s="109"/>
      <c r="J221" s="109"/>
      <c r="K221" s="89" t="s">
        <v>406</v>
      </c>
      <c r="L221" s="88"/>
      <c r="M221" s="90"/>
      <c r="N221" s="88"/>
      <c r="O221" s="110"/>
      <c r="P221" s="91" t="s">
        <v>495</v>
      </c>
      <c r="Q221" s="103"/>
      <c r="R221" s="113"/>
      <c r="S221" s="104"/>
      <c r="T221" s="113" t="s">
        <v>111</v>
      </c>
    </row>
    <row r="222" ht="60" hidden="1" customHeight="1" spans="1:20">
      <c r="A222" s="9">
        <f t="shared" si="10"/>
        <v>221</v>
      </c>
      <c r="B222" s="70" t="s">
        <v>78</v>
      </c>
      <c r="C222" s="70" t="s">
        <v>731</v>
      </c>
      <c r="D222" s="70" t="s">
        <v>47</v>
      </c>
      <c r="E222" s="70" t="s">
        <v>732</v>
      </c>
      <c r="F222" s="73">
        <v>43546</v>
      </c>
      <c r="G222" s="70"/>
      <c r="H222" s="73"/>
      <c r="I222" s="109"/>
      <c r="J222" s="109"/>
      <c r="K222" s="89" t="s">
        <v>406</v>
      </c>
      <c r="L222" s="88" t="s">
        <v>733</v>
      </c>
      <c r="M222" s="90"/>
      <c r="N222" s="88"/>
      <c r="O222" s="110"/>
      <c r="P222" s="91" t="s">
        <v>495</v>
      </c>
      <c r="Q222" s="103"/>
      <c r="R222" s="113"/>
      <c r="S222" s="104"/>
      <c r="T222" s="113" t="s">
        <v>85</v>
      </c>
    </row>
    <row r="223" ht="94.5" hidden="1" spans="1:20">
      <c r="A223" s="9">
        <f t="shared" si="10"/>
        <v>222</v>
      </c>
      <c r="B223" s="70" t="s">
        <v>78</v>
      </c>
      <c r="C223" s="70" t="s">
        <v>734</v>
      </c>
      <c r="D223" s="70" t="s">
        <v>49</v>
      </c>
      <c r="E223" s="70" t="s">
        <v>735</v>
      </c>
      <c r="F223" s="73">
        <v>43546</v>
      </c>
      <c r="G223" s="70"/>
      <c r="H223" s="73"/>
      <c r="I223" s="109"/>
      <c r="J223" s="109"/>
      <c r="K223" s="89" t="s">
        <v>406</v>
      </c>
      <c r="L223" s="88" t="s">
        <v>736</v>
      </c>
      <c r="M223" s="90"/>
      <c r="N223" s="88"/>
      <c r="O223" s="110"/>
      <c r="P223" s="91" t="s">
        <v>495</v>
      </c>
      <c r="Q223" s="103"/>
      <c r="R223" s="113"/>
      <c r="S223" s="104"/>
      <c r="T223" s="113" t="s">
        <v>111</v>
      </c>
    </row>
    <row r="224" ht="55.5" hidden="1" customHeight="1" spans="1:20">
      <c r="A224" s="9">
        <f t="shared" si="10"/>
        <v>223</v>
      </c>
      <c r="B224" s="72" t="s">
        <v>396</v>
      </c>
      <c r="C224" s="70" t="s">
        <v>737</v>
      </c>
      <c r="D224" s="70" t="s">
        <v>49</v>
      </c>
      <c r="E224" s="70" t="s">
        <v>738</v>
      </c>
      <c r="F224" s="73">
        <v>43546</v>
      </c>
      <c r="G224" s="70"/>
      <c r="H224" s="73"/>
      <c r="I224" s="109"/>
      <c r="J224" s="109"/>
      <c r="K224" s="89" t="s">
        <v>406</v>
      </c>
      <c r="L224" s="88"/>
      <c r="M224" s="90"/>
      <c r="N224" s="88"/>
      <c r="O224" s="110"/>
      <c r="P224" s="91" t="s">
        <v>495</v>
      </c>
      <c r="Q224" s="103"/>
      <c r="R224" s="113"/>
      <c r="S224" s="104"/>
      <c r="T224" s="113" t="s">
        <v>111</v>
      </c>
    </row>
  </sheetData>
  <protectedRanges>
    <protectedRange sqref="M12" name="Range4_1_5_2" securityDescriptor="O:WDG:WDD:(A;;CC;;;WD)"/>
    <protectedRange sqref="M13" name="Range4_1_6_2" securityDescriptor="O:WDG:WDD:(A;;CC;;;WD)"/>
    <protectedRange sqref="M15" name="Range4_1_8_2" securityDescriptor="O:WDG:WDD:(A;;CC;;;WD)"/>
    <protectedRange sqref="M18" name="Range4_1_11_2" securityDescriptor="O:WDG:WDD:(A;;CC;;;WD)"/>
    <protectedRange sqref="G1:I1" name="Range3_1_1_1" securityDescriptor="O:WDG:WDD:(A;;CC;;;WD)"/>
    <protectedRange sqref="I12 I14 I17:I18 I21 I24 I26:I27 I29:I32 I35 I37:I38 I44:I46 I48:I50 I53 I55 I58:I64 G10:I10 G12 G14 G17:G18 I66 G21 G2:I8 I70" name="Range3_1_2_2" securityDescriptor="O:WDG:WDD:(A;;CC;;;WD)"/>
    <protectedRange sqref="G9:I9" name="Range3_1_14" securityDescriptor="O:WDG:WDD:(A;;CC;;;WD)"/>
    <protectedRange sqref="G11:I11" name="Range3_1_4_2" securityDescriptor="O:WDG:WDD:(A;;CC;;;WD)"/>
    <protectedRange sqref="H12" name="Range3_1_5_2" securityDescriptor="O:WDG:WDD:(A;;CC;;;WD)"/>
    <protectedRange sqref="G13:I13" name="Range3_1_6_2" securityDescriptor="O:WDG:WDD:(A;;CC;;;WD)"/>
    <protectedRange sqref="H14" name="Range3_1_7_2" securityDescriptor="O:WDG:WDD:(A;;CC;;;WD)"/>
    <protectedRange sqref="G15:I15" name="Range3_1_8_2" securityDescriptor="O:WDG:WDD:(A;;CC;;;WD)"/>
    <protectedRange sqref="G16:I16" name="Range3_1_9_1" securityDescriptor="O:WDG:WDD:(A;;CC;;;WD)"/>
    <protectedRange sqref="H17" name="Range3_1_10_1" securityDescriptor="O:WDG:WDD:(A;;CC;;;WD)"/>
    <protectedRange sqref="G19:I20 H18 G22:I23 H21" name="Range3_1_11_1" securityDescriptor="O:WDG:WDD:(A;;CC;;;WD)"/>
    <protectedRange sqref="L40:R40 L47:M47 L52:M52 L51 L57:M57 L42:R43 L41:N41 L44:N46 L54:M54" name="Range4_1_2_6" securityDescriptor="O:WDG:WDD:(A;;CC;;;WD)"/>
    <protectedRange sqref="J44:J46 B40:J43 B44:F46 H44:H46 C47" name="Range3_1_2_3" securityDescriptor="O:WDG:WDD:(A;;CC;;;WD)"/>
    <protectedRange sqref="K40:K43" name="Range1_1_3_2" securityDescriptor="O:WDG:WDD:(A;;CC;;;S-1-5-21-2404179850-4031479917-2940970859-6802)"/>
    <protectedRange sqref="N47:R47" name="Range4_1_15" securityDescriptor="O:WDG:WDD:(A;;CC;;;WD)"/>
    <protectedRange sqref="B47 D47:J47" name="Range3_1_15" securityDescriptor="O:WDG:WDD:(A;;CC;;;WD)"/>
    <protectedRange sqref="K47" name="Range1_1_8" securityDescriptor="O:WDG:WDD:(A;;CC;;;S-1-5-21-2404179850-4031479917-2940970859-6802)"/>
    <protectedRange sqref="L48:N48" name="Range4_1_3_3" securityDescriptor="O:WDG:WDD:(A;;CC;;;WD)"/>
    <protectedRange sqref="B48:G48 J48" name="Range3_1_3_3" securityDescriptor="O:WDG:WDD:(A;;CC;;;WD)"/>
    <protectedRange sqref="L49:N49" name="Range4_1_4_3" securityDescriptor="O:WDG:WDD:(A;;CC;;;WD)"/>
    <protectedRange sqref="B49:F49 J49 O49 O61 O63 Q49 Q61 Q63 Q35" name="Range3_1_4_3" securityDescriptor="O:WDG:WDD:(A;;CC;;;WD)"/>
    <protectedRange sqref="L50:N50" name="Range4_1_5_3" securityDescriptor="O:WDG:WDD:(A;;CC;;;WD)"/>
    <protectedRange sqref="B50:G50 J50" name="Range3_1_5_3" securityDescriptor="O:WDG:WDD:(A;;CC;;;WD)"/>
    <protectedRange sqref="M51:R51" name="Range4_1_6_3" securityDescriptor="O:WDG:WDD:(A;;CC;;;WD)"/>
    <protectedRange sqref="B51:J51" name="Range3_1_6_3" securityDescriptor="O:WDG:WDD:(A;;CC;;;WD)"/>
    <protectedRange sqref="K51:K52 K54" name="Range1_1_6_2" securityDescriptor="O:WDG:WDD:(A;;CC;;;S-1-5-21-2404179850-4031479917-2940970859-6802)"/>
    <protectedRange sqref="N52:R52" name="Range4_1_7_2" securityDescriptor="O:WDG:WDD:(A;;CC;;;WD)"/>
    <protectedRange sqref="B52:J52" name="Range3_1_7_3" securityDescriptor="O:WDG:WDD:(A;;CC;;;WD)"/>
    <protectedRange sqref="L53:N53" name="Range4_1_8_3" securityDescriptor="O:WDG:WDD:(A;;CC;;;WD)"/>
    <protectedRange sqref="F53:G53 B53:D53 J53" name="Range3_1_8_3" securityDescriptor="O:WDG:WDD:(A;;CC;;;WD)"/>
    <protectedRange sqref="N54:R54" name="Range4_1_9_2" securityDescriptor="O:WDG:WDD:(A;;CC;;;WD)"/>
    <protectedRange sqref="B54:J54" name="Range3_1_9_2" securityDescriptor="O:WDG:WDD:(A;;CC;;;WD)"/>
    <protectedRange sqref="L55:N55" name="Range4_1_11_3" securityDescriptor="O:WDG:WDD:(A;;CC;;;WD)"/>
    <protectedRange sqref="B55:G55 J55 F58:G59 F56:I57" name="Range3_1_11_2" securityDescriptor="O:WDG:WDD:(A;;CC;;;WD)"/>
    <protectedRange sqref="L56:R56" name="Range4_1_12_3" securityDescriptor="O:WDG:WDD:(A;;CC;;;WD)"/>
    <protectedRange sqref="B56:E56 B57:B59 J56:J59" name="Range3_1_12_1" securityDescriptor="O:WDG:WDD:(A;;CC;;;WD)"/>
    <protectedRange sqref="K56:K57" name="Range1_1_12_1" securityDescriptor="O:WDG:WDD:(A;;CC;;;S-1-5-21-2404179850-4031479917-2940970859-6802)"/>
    <protectedRange sqref="C60" name="Range3_1_2_1_2" securityDescriptor="O:WDG:WDD:(A;;CC;;;WD)"/>
    <protectedRange sqref="B60" name="Range3_1_3_1_2" securityDescriptor="O:WDG:WDD:(A;;CC;;;WD)"/>
    <protectedRange sqref="O41:R41 O44:P46 R62 Q81:R81 Q72:R72 Q79:R79 P50 P60 R44:R46 R48 R50 O53:R53 R55 R58:R60 Q75:R77 R64 Q66:R66 Q105 Q104 Q108 Q109 Q110 Q111" name="Range4_1_14_12" securityDescriptor="O:WDG:WDD:(A;;CC;;;WD)"/>
    <protectedRange sqref="O48:Q48" name="Range4_1_14_1_1" securityDescriptor="O:WDG:WDD:(A;;CC;;;WD)"/>
    <protectedRange sqref="P49" name="Range4_1_14_2_1" securityDescriptor="O:WDG:WDD:(A;;CC;;;WD)"/>
    <protectedRange sqref="O55:P55" name="Range4_1_14_4_1" securityDescriptor="O:WDG:WDD:(A;;CC;;;WD)"/>
    <protectedRange sqref="O58:P58 O79 O81" name="Range4_1_14_5_1" securityDescriptor="O:WDG:WDD:(A;;CC;;;WD)"/>
    <protectedRange sqref="O59:P59" name="Range4_1_14_6_1" securityDescriptor="O:WDG:WDD:(A;;CC;;;WD)"/>
    <protectedRange sqref="O60" name="Range4_1_14_7_1" securityDescriptor="O:WDG:WDD:(A;;CC;;;WD)"/>
    <protectedRange sqref="O62:P62" name="Range4_1_14_9_1" securityDescriptor="O:WDG:WDD:(A;;CC;;;WD)"/>
    <protectedRange sqref="P63" name="Range4_1_14_10_1" securityDescriptor="O:WDG:WDD:(A;;CC;;;WD)"/>
    <protectedRange sqref="O64:P64 O72 O75:O77 O66:P66" name="Range4_1_14_11_1" securityDescriptor="O:WDG:WDD:(A;;CC;;;WD)"/>
    <protectedRange sqref="L67:L71 N67:N71" name="Range4_1_17" securityDescriptor="O:WDG:WDD:(A;;CC;;;WD)"/>
    <protectedRange sqref="B67:F71 J67:J71" name="Range3_1_3_5" securityDescriptor="O:WDG:WDD:(A;;CC;;;WD)"/>
    <protectedRange sqref="K67:K69 K71:K76" name="Range1_1_2_4" securityDescriptor="O:WDG:WDD:(A;;CC;;;S-1-5-21-2404179850-4031479917-2940970859-6802)"/>
    <protectedRange sqref="L72:L77 N72:N77" name="Range4_1_3_5" securityDescriptor="O:WDG:WDD:(A;;CC;;;WD)"/>
    <protectedRange sqref="C72 E72 J72:J77 C73:E77 F72:F77 B72:B77" name="Range3_1_6_5" securityDescriptor="O:WDG:WDD:(A;;CC;;;WD)"/>
    <protectedRange sqref="G75:I77 G79:I79 G81 G71:I72 H78:I78 G83:G85 G90:G91 G94 G96:G99 G104:G105 G108:G111 G67:I69 G101:I101 H80:I100 H102:I111" name="Range3_1_2_2_1" securityDescriptor="O:WDG:WDD:(A;;CC;;;WD)"/>
    <protectedRange sqref="G73:I73" name="Range3_1_3_2_1" securityDescriptor="O:WDG:WDD:(A;;CC;;;WD)"/>
    <protectedRange sqref="G74:I74" name="Range3_1_4_2_1" securityDescriptor="O:WDG:WDD:(A;;CC;;;WD)"/>
    <protectedRange sqref="M67:M72 M75:M77" name="Range4_1_2_5_1" securityDescriptor="O:WDG:WDD:(A;;CC;;;WD)"/>
    <protectedRange sqref="M73" name="Range4_1_3_2_1" securityDescriptor="O:WDG:WDD:(A;;CC;;;WD)"/>
    <protectedRange sqref="M74" name="Range4_1_4_2_1" securityDescriptor="O:WDG:WDD:(A;;CC;;;WD)"/>
    <protectedRange sqref="N78:O78 N79 N80:O80 N81 Q90:Q91 Q94 L78:L94 L97:L111 Q83:Q87 N82:O94 Q101 Q96:Q99 N105 N109 N110 N111 N97:O103 N104 N106:O107 N108" name="Range4_1" securityDescriptor="O:WDG:WDD:(A;;CC;;;WD)"/>
    <protectedRange sqref="C86:D86 E78 B78:C78 B84:B89 C84:E85 B79:E83 C87:E89 F78:F94 J78:J94" name="Range3_1" securityDescriptor="O:WDG:WDD:(A;;CC;;;WD)"/>
    <protectedRange sqref="G86 G88 G78 G80 G82 G92:G93" name="Range3_1_2_2_2" securityDescriptor="O:WDG:WDD:(A;;CC;;;WD)"/>
    <protectedRange sqref="G87" name="Range3_1_6_2_2" securityDescriptor="O:WDG:WDD:(A;;CC;;;WD)"/>
    <protectedRange sqref="G89" name="Range3_1_8_2_2" securityDescriptor="O:WDG:WDD:(A;;CC;;;WD)"/>
    <protectedRange sqref="M88 M78:M83" name="Range4_1_2_5_2" securityDescriptor="O:WDG:WDD:(A;;CC;;;WD)"/>
    <protectedRange sqref="M84" name="Range4_1_3_2_2" securityDescriptor="O:WDG:WDD:(A;;CC;;;WD)"/>
    <protectedRange sqref="M85" name="Range4_1_4_2_2" securityDescriptor="O:WDG:WDD:(A;;CC;;;WD)"/>
    <protectedRange sqref="M86" name="Range4_1_5_2_2" securityDescriptor="O:WDG:WDD:(A;;CC;;;WD)"/>
    <protectedRange sqref="M87" name="Range4_1_6_2_2" securityDescriptor="O:WDG:WDD:(A;;CC;;;WD)"/>
    <protectedRange sqref="M89" name="Range4_1_8_2_2" securityDescriptor="O:WDG:WDD:(A;;CC;;;WD)"/>
    <protectedRange sqref="J95" name="Range4_1_3"/>
    <protectedRange sqref="B95:G95" name="Range3_1_3"/>
    <protectedRange sqref="J96" name="Range4_1_4" securityDescriptor="O:WDG:WDD:(A;;CC;;;WD)"/>
    <protectedRange sqref="B96:F96" name="Range3_1_4" securityDescriptor="O:WDG:WDD:(A;;CC;;;WD)"/>
    <protectedRange sqref="J97:J99" name="Range4_1_7"/>
    <protectedRange sqref="C100 B97:F99 F101:F102" name="Range3_1_7"/>
    <protectedRange sqref="J100" name="Range4_1_8"/>
    <protectedRange sqref="B100 D100:G100" name="Range3_1_8"/>
    <protectedRange sqref="J101:J111" name="Range4_1_9" securityDescriptor="O:WDG:WDD:(A;;CC;;;WD)"/>
    <protectedRange sqref="B101:E102 G102" name="Range3_1_9" securityDescriptor="O:WDG:WDD:(A;;CC;;;WD)"/>
    <protectedRange sqref="B103:G103 B104:F105" name="Range3_1_1"/>
    <protectedRange sqref="B106:G107 B108:F111" name="Range3_1_2"/>
    <protectedRange sqref="J112:J116" name="Range4_1_2"/>
    <protectedRange sqref="B112:G116" name="Range3_1_5"/>
    <protectedRange sqref="J117:J120" name="Range4_1_5" securityDescriptor="O:WDG:WDD:(A;;CC;;;WD)"/>
    <protectedRange sqref="C121:C123 C125 B117:E120 G117:G120" name="Range3_1_6" securityDescriptor="O:WDG:WDD:(A;;CC;;;WD)"/>
    <protectedRange sqref="J131" name="Range4_1_1"/>
    <protectedRange sqref="B131:G131" name="Range3_1_10"/>
    <protectedRange sqref="J132:J149" name="Range4_1_10" securityDescriptor="O:WDG:WDD:(A;;CC;;;WD)"/>
    <protectedRange sqref="C138:E138 B138:B149 F138:G149 B132:G137 C141:E149" name="Range3_1_12" securityDescriptor="O:WDG:WDD:(A;;CC;;;WD)"/>
    <protectedRange sqref="J150:J153" name="Range4_1_6"/>
    <protectedRange sqref="B150:G153" name="Range3_1_11"/>
    <protectedRange sqref="C155:D155 C156:E159" name="Range3_1_1_2" securityDescriptor="O:WDG:WDD:(A;;CC;;;WD)"/>
    <protectedRange sqref="D175 D176:E178 C179:E180 C181:C186" name="Range3_1_1_3" securityDescriptor="O:WDG:WDD:(A;;CC;;;WD)"/>
    <protectedRange sqref="I187:J188" name="Range4_1_11"/>
    <protectedRange sqref="B188:G188 B187 D187:G187" name="Range3_1_13"/>
    <protectedRange sqref="H187:H188" name="Range1_1"/>
    <protectedRange sqref="E204 D190:D202 E191:E201 C205:C218" name="Range3_1_1_4" securityDescriptor="O:WDG:WDD:(A;;CC;;;WD)"/>
    <protectedRange sqref="I224:J224" name="Range4_1_12"/>
    <protectedRange sqref="B224:G224" name="Range3_1_16"/>
    <protectedRange sqref="H224" name="Range1_1_1"/>
  </protectedRanges>
  <autoFilter ref="A1:T224">
    <filterColumn colId="3">
      <customFilters>
        <customFilter operator="equal" val="BUG"/>
      </customFilters>
    </filterColumn>
    <filterColumn colId="7">
      <customFilters>
        <customFilter operator="equal" val="朱浪"/>
      </customFilters>
    </filterColumn>
    <extLst/>
  </autoFilter>
  <mergeCells count="3">
    <mergeCell ref="D210:D212"/>
    <mergeCell ref="L210:L212"/>
    <mergeCell ref="T210:T212"/>
  </mergeCells>
  <conditionalFormatting sqref="K54">
    <cfRule type="containsText" dxfId="0" priority="801" operator="between" text="验证不通过">
      <formula>NOT(ISERROR(SEARCH("验证不通过",K54)))</formula>
    </cfRule>
    <cfRule type="cellIs" dxfId="1" priority="802" operator="equal">
      <formula>"IT验证通过"</formula>
    </cfRule>
    <cfRule type="cellIs" dxfId="2" priority="803" operator="equal">
      <formula>"问题关闭"</formula>
    </cfRule>
    <cfRule type="cellIs" dxfId="3" priority="804" operator="equal">
      <formula>"问题提交"</formula>
    </cfRule>
    <cfRule type="containsText" dxfId="0" priority="805" operator="between" text="验证不通过">
      <formula>NOT(ISERROR(SEARCH("验证不通过",K54)))</formula>
    </cfRule>
    <cfRule type="cellIs" dxfId="1" priority="806" operator="equal">
      <formula>"IT验证通过"</formula>
    </cfRule>
    <cfRule type="cellIs" dxfId="2" priority="807" operator="equal">
      <formula>"问题关闭"</formula>
    </cfRule>
    <cfRule type="cellIs" dxfId="3" priority="808" operator="equal">
      <formula>"问题提交"</formula>
    </cfRule>
    <cfRule type="containsText" dxfId="0" priority="809" operator="between" text="验证不通过">
      <formula>NOT(ISERROR(SEARCH("验证不通过",K54)))</formula>
    </cfRule>
    <cfRule type="cellIs" dxfId="1" priority="810" operator="equal">
      <formula>"IT验证通过"</formula>
    </cfRule>
    <cfRule type="cellIs" dxfId="2" priority="811" operator="equal">
      <formula>"问题关闭"</formula>
    </cfRule>
    <cfRule type="cellIs" dxfId="3" priority="812" operator="equal">
      <formula>"问题提交"</formula>
    </cfRule>
    <cfRule type="containsText" dxfId="0" priority="813" operator="between" text="验证不通过">
      <formula>NOT(ISERROR(SEARCH("验证不通过",K54)))</formula>
    </cfRule>
    <cfRule type="cellIs" dxfId="1" priority="814" operator="equal">
      <formula>"IT验证通过"</formula>
    </cfRule>
    <cfRule type="cellIs" dxfId="2" priority="815" operator="equal">
      <formula>"问题关闭"</formula>
    </cfRule>
    <cfRule type="cellIs" dxfId="3" priority="816" operator="equal">
      <formula>"问题提交"</formula>
    </cfRule>
  </conditionalFormatting>
  <conditionalFormatting sqref="K58:K63 K66:K69 K55:K56 K53 K1:K51 K71:K224">
    <cfRule type="containsText" dxfId="0" priority="795" operator="between" text="验证不通过">
      <formula>NOT(ISERROR(SEARCH("验证不通过",K1)))</formula>
    </cfRule>
    <cfRule type="cellIs" dxfId="1" priority="796" operator="equal">
      <formula>"IT验证通过"</formula>
    </cfRule>
    <cfRule type="cellIs" dxfId="2" priority="797" operator="equal">
      <formula>"问题关闭"</formula>
    </cfRule>
    <cfRule type="cellIs" dxfId="3" priority="798" operator="equal">
      <formula>"问题提交"</formula>
    </cfRule>
  </conditionalFormatting>
  <conditionalFormatting sqref="G106:G107 G95 G102:G103 G100 J78:J94 J71 J60:J64 J66:J69 J2:J39 J42:J56 G169:G224">
    <cfRule type="cellIs" dxfId="4" priority="799" operator="equal">
      <formula>"M"</formula>
    </cfRule>
    <cfRule type="cellIs" dxfId="5" priority="800" operator="equal">
      <formula>"H"</formula>
    </cfRule>
  </conditionalFormatting>
  <conditionalFormatting sqref="J57:J59 J40:J41">
    <cfRule type="cellIs" dxfId="4" priority="791" operator="equal">
      <formula>"M"</formula>
    </cfRule>
    <cfRule type="cellIs" dxfId="5" priority="792" operator="equal">
      <formula>"H"</formula>
    </cfRule>
    <cfRule type="cellIs" dxfId="4" priority="793" operator="equal">
      <formula>"M"</formula>
    </cfRule>
    <cfRule type="cellIs" dxfId="5" priority="794" operator="equal">
      <formula>"H"</formula>
    </cfRule>
  </conditionalFormatting>
  <conditionalFormatting sqref="K62 K66 K57:K60 K52">
    <cfRule type="containsText" dxfId="0" priority="783" operator="between" text="验证不通过">
      <formula>NOT(ISERROR(SEARCH("验证不通过",K52)))</formula>
    </cfRule>
    <cfRule type="cellIs" dxfId="1" priority="784" operator="equal">
      <formula>"IT验证通过"</formula>
    </cfRule>
    <cfRule type="cellIs" dxfId="2" priority="785" operator="equal">
      <formula>"问题关闭"</formula>
    </cfRule>
    <cfRule type="cellIs" dxfId="3" priority="786" operator="equal">
      <formula>"问题提交"</formula>
    </cfRule>
    <cfRule type="containsText" dxfId="0" priority="787" operator="between" text="验证不通过">
      <formula>NOT(ISERROR(SEARCH("验证不通过",K52)))</formula>
    </cfRule>
    <cfRule type="cellIs" dxfId="1" priority="788" operator="equal">
      <formula>"IT验证通过"</formula>
    </cfRule>
    <cfRule type="cellIs" dxfId="2" priority="789" operator="equal">
      <formula>"问题关闭"</formula>
    </cfRule>
    <cfRule type="cellIs" dxfId="3" priority="790" operator="equal">
      <formula>"问题提交"</formula>
    </cfRule>
  </conditionalFormatting>
  <conditionalFormatting sqref="K60:K66 K53">
    <cfRule type="containsText" dxfId="0" priority="771" operator="between" text="验证不通过">
      <formula>NOT(ISERROR(SEARCH("验证不通过",K53)))</formula>
    </cfRule>
    <cfRule type="cellIs" dxfId="1" priority="772" operator="equal">
      <formula>"IT验证通过"</formula>
    </cfRule>
    <cfRule type="cellIs" dxfId="2" priority="773" operator="equal">
      <formula>"问题关闭"</formula>
    </cfRule>
    <cfRule type="cellIs" dxfId="3" priority="774" operator="equal">
      <formula>"问题提交"</formula>
    </cfRule>
    <cfRule type="containsText" dxfId="0" priority="775" operator="between" text="验证不通过">
      <formula>NOT(ISERROR(SEARCH("验证不通过",K53)))</formula>
    </cfRule>
    <cfRule type="cellIs" dxfId="1" priority="776" operator="equal">
      <formula>"IT验证通过"</formula>
    </cfRule>
    <cfRule type="cellIs" dxfId="2" priority="777" operator="equal">
      <formula>"问题关闭"</formula>
    </cfRule>
    <cfRule type="cellIs" dxfId="3" priority="778" operator="equal">
      <formula>"问题提交"</formula>
    </cfRule>
    <cfRule type="containsText" dxfId="0" priority="779" operator="between" text="验证不通过">
      <formula>NOT(ISERROR(SEARCH("验证不通过",K53)))</formula>
    </cfRule>
    <cfRule type="cellIs" dxfId="1" priority="780" operator="equal">
      <formula>"IT验证通过"</formula>
    </cfRule>
    <cfRule type="cellIs" dxfId="2" priority="781" operator="equal">
      <formula>"问题关闭"</formula>
    </cfRule>
    <cfRule type="cellIs" dxfId="3" priority="782" operator="equal">
      <formula>"问题提交"</formula>
    </cfRule>
  </conditionalFormatting>
  <conditionalFormatting sqref="H112:I173 K95:K96 H187:H188 H224">
    <cfRule type="containsText" dxfId="0" priority="767" operator="between" text="验证不通过">
      <formula>NOT(ISERROR(SEARCH("验证不通过",H95)))</formula>
    </cfRule>
    <cfRule type="cellIs" dxfId="1" priority="768" operator="equal">
      <formula>"IT验证通过"</formula>
    </cfRule>
    <cfRule type="cellIs" dxfId="2" priority="769" operator="equal">
      <formula>"问题关闭"</formula>
    </cfRule>
    <cfRule type="cellIs" dxfId="3" priority="770" operator="equal">
      <formula>"问题提交"</formula>
    </cfRule>
  </conditionalFormatting>
  <conditionalFormatting sqref="H132:H149 H117:H120 H154:H186 H189:H223">
    <cfRule type="containsText" dxfId="0" priority="590" operator="between" text="验证不通过">
      <formula>NOT(ISERROR(SEARCH("验证不通过",H117)))</formula>
    </cfRule>
    <cfRule type="cellIs" dxfId="1" priority="591" operator="equal">
      <formula>"IT验证通过"</formula>
    </cfRule>
    <cfRule type="cellIs" dxfId="2" priority="592" operator="equal">
      <formula>"问题关闭"</formula>
    </cfRule>
    <cfRule type="cellIs" dxfId="3" priority="593" operator="equal">
      <formula>"问题提交"</formula>
    </cfRule>
  </conditionalFormatting>
  <conditionalFormatting sqref="K135:K147 K120">
    <cfRule type="cellIs" dxfId="6" priority="596" stopIfTrue="1" operator="equal">
      <formula>"InWork"</formula>
    </cfRule>
    <cfRule type="cellIs" dxfId="4" priority="597" stopIfTrue="1" operator="equal">
      <formula>"Closed"</formula>
    </cfRule>
    <cfRule type="cellIs" dxfId="7" priority="598" stopIfTrue="1" operator="equal">
      <formula>"Open"</formula>
    </cfRule>
  </conditionalFormatting>
  <conditionalFormatting sqref="K137:K138 K140">
    <cfRule type="cellIs" dxfId="6" priority="304" stopIfTrue="1" operator="equal">
      <formula>"InWork"</formula>
    </cfRule>
    <cfRule type="cellIs" dxfId="4" priority="305" stopIfTrue="1" operator="equal">
      <formula>"Closed"</formula>
    </cfRule>
    <cfRule type="cellIs" dxfId="7" priority="306" stopIfTrue="1" operator="equal">
      <formula>"Open"</formula>
    </cfRule>
    <cfRule type="cellIs" dxfId="6" priority="307" stopIfTrue="1" operator="equal">
      <formula>"InWork"</formula>
    </cfRule>
    <cfRule type="cellIs" dxfId="4" priority="308" stopIfTrue="1" operator="equal">
      <formula>"Closed"</formula>
    </cfRule>
    <cfRule type="cellIs" dxfId="7" priority="309" stopIfTrue="1" operator="equal">
      <formula>"Open"</formula>
    </cfRule>
  </conditionalFormatting>
  <dataValidations count="5">
    <dataValidation type="list" allowBlank="1" showInputMessage="1" showErrorMessage="1" promptTitle="请按照操作提示进行操作：" prompt="请下拉选择问题紧急度" sqref="IX137:IX149 ST137:ST149 ACP137:ACP149 AML137:AML149 AWH137:AWH149 BGD137:BGD149 BPZ137:BPZ149 BZV137:BZV149 CJR137:CJR149 CTN137:CTN149 DDJ137:DDJ149 DNF137:DNF149 DXB137:DXB149 EGX137:EGX149 EQT137:EQT149 FAP137:FAP149 FKL137:FKL149 FUH137:FUH149 GED137:GED149 GNZ137:GNZ149 GXV137:GXV149 HHR137:HHR149 HRN137:HRN149 IBJ137:IBJ149 ILF137:ILF149 IVB137:IVB149 JEX137:JEX149 JOT137:JOT149 JYP137:JYP149 KIL137:KIL149 KSH137:KSH149 LCD137:LCD149 LLZ137:LLZ149 LVV137:LVV149 MFR137:MFR149 MPN137:MPN149 MZJ137:MZJ149 NJF137:NJF149 NTB137:NTB149 OCX137:OCX149 OMT137:OMT149 OWP137:OWP149 PGL137:PGL149 PQH137:PQH149 QAD137:QAD149 QJZ137:QJZ149 QTV137:QTV149 RDR137:RDR149 RNN137:RNN149 RXJ137:RXJ149 SHF137:SHF149 SRB137:SRB149 TAX137:TAX149 TKT137:TKT149 TUP137:TUP149 UEL137:UEL149 UOH137:UOH149 UYD137:UYD149 VHZ137:VHZ149 VRV137:VRV149 WBR137:WBR149 WLN137:WLN149 WVJ137:WVJ149">
      <formula1>"H,M,L"</formula1>
    </dataValidation>
    <dataValidation allowBlank="1" showInputMessage="1" showErrorMessage="1" promptTitle="请按照操作提示进行操作：" prompt="请描述问题的详细现象并提供具体案例信息（如单号，文件名称、字段等）" sqref="D138"/>
    <dataValidation allowBlank="1" showInputMessage="1" showErrorMessage="1" promptTitle="请按照操作提示进行操作：" prompt="请填写CDSID" sqref="E138"/>
    <dataValidation type="date" operator="greaterThan" allowBlank="1" showInputMessage="1" showErrorMessage="1" errorTitle="出错了" error="请输入日期" promptTitle="请按照操作提示进行操作：" prompt="输入日期格式，如2013/10/9" sqref="IW137:IW149 SS137:SS149 ACO137:ACO149 AMK137:AMK149 AWG137:AWG149 BGC137:BGC149 BPY137:BPY149 BZU137:BZU149 CJQ137:CJQ149 CTM137:CTM149 DDI137:DDI149 DNE137:DNE149 DXA137:DXA149 EGW137:EGW149 EQS137:EQS149 FAO137:FAO149 FKK137:FKK149 FUG137:FUG149 GEC137:GEC149 GNY137:GNY149 GXU137:GXU149 HHQ137:HHQ149 HRM137:HRM149 IBI137:IBI149 ILE137:ILE149 IVA137:IVA149 JEW137:JEW149 JOS137:JOS149 JYO137:JYO149 KIK137:KIK149 KSG137:KSG149 LCC137:LCC149 LLY137:LLY149 LVU137:LVU149 MFQ137:MFQ149 MPM137:MPM149 MZI137:MZI149 NJE137:NJE149 NTA137:NTA149 OCW137:OCW149 OMS137:OMS149 OWO137:OWO149 PGK137:PGK149 PQG137:PQG149 QAC137:QAC149 QJY137:QJY149 QTU137:QTU149 RDQ137:RDQ149 RNM137:RNM149 RXI137:RXI149 SHE137:SHE149 SRA137:SRA149 TAW137:TAW149 TKS137:TKS149 TUO137:TUO149 UEK137:UEK149 UOG137:UOG149 UYC137:UYC149 VHY137:VHY149 VRU137:VRU149 WBQ137:WBQ149 WLM137:WLM149 WVI137:WVI149">
      <formula1>41275</formula1>
    </dataValidation>
    <dataValidation allowBlank="1" showInputMessage="1" showErrorMessage="1" promptTitle="请按照操作提示进行操作：" prompt="请文字描述问题所属类别" sqref="IS138:IT140 SO138:SP140 ACK138:ACL140 AMG138:AMH140 AWC138:AWD140 BFY138:BFZ140 BPU138:BPV140 BZQ138:BZR140 CJM138:CJN140 CTI138:CTJ140 DDE138:DDF140 DNA138:DNB140 DWW138:DWX140 EGS138:EGT140 EQO138:EQP140 FAK138:FAL140 FKG138:FKH140 FUC138:FUD140 GDY138:GDZ140 GNU138:GNV140 GXQ138:GXR140 HHM138:HHN140 HRI138:HRJ140 IBE138:IBF140 ILA138:ILB140 IUW138:IUX140 JES138:JET140 JOO138:JOP140 JYK138:JYL140 KIG138:KIH140 KSC138:KSD140 LBY138:LBZ140 LLU138:LLV140 LVQ138:LVR140 MFM138:MFN140 MPI138:MPJ140 MZE138:MZF140 NJA138:NJB140 NSW138:NSX140 OCS138:OCT140 OMO138:OMP140 OWK138:OWL140 PGG138:PGH140 PQC138:PQD140 PZY138:PZZ140 QJU138:QJV140 QTQ138:QTR140 RDM138:RDN140 RNI138:RNJ140 RXE138:RXF140 SHA138:SHB140 SQW138:SQX140 TAS138:TAT140 TKO138:TKP140 TUK138:TUL140 UEG138:UEH140 UOC138:UOD140 UXY138:UXZ140 VHU138:VHV140 VRQ138:VRR140 WBM138:WBN140 WLI138:WLJ140 WVE138:WVF140 IS142:IT144 SO142:SP144 ACK142:ACL144 AMG142:AMH144 AWC142:AWD144 BFY142:BFZ144 BPU142:BPV144 BZQ142:BZR144 CJM142:CJN144 CTI142:CTJ144 DDE142:DDF144 DNA142:DNB144 DWW142:DWX144 EGS142:EGT144 EQO142:EQP144 FAK142:FAL144 FKG142:FKH144 FUC142:FUD144 GDY142:GDZ144 GNU142:GNV144 GXQ142:GXR144 HHM142:HHN144 HRI142:HRJ144 IBE142:IBF144 ILA142:ILB144 IUW142:IUX144 JES142:JET144 JOO142:JOP144 JYK142:JYL144 KIG142:KIH144 KSC142:KSD144 LBY142:LBZ144 LLU142:LLV144 LVQ142:LVR144 MFM142:MFN144 MPI142:MPJ144 MZE142:MZF144 NJA142:NJB144 NSW142:NSX144 OCS142:OCT144 OMO142:OMP144 OWK142:OWL144 PGG142:PGH144 PQC142:PQD144 PZY142:PZZ144 QJU142:QJV144 QTQ142:QTR144 RDM142:RDN144 RNI142:RNJ144 RXE142:RXF144 SHA142:SHB144 SQW142:SQX144 TAS142:TAT144 TKO142:TKP144 TUK142:TUL144 UEG142:UEH144 UOC142:UOD144 UXY142:UXZ144 VHU142:VHV144 VRQ142:VRR144 WBM142:WBN144 WLI142:WLJ144 WVE142:WVF144"/>
  </dataValidations>
  <pageMargins left="0.7" right="0.7" top="0.75" bottom="0.75" header="0.3" footer="0.3"/>
  <pageSetup paperSize="9" orientation="portrait" horizontalDpi="300" verticalDpi="300"/>
  <headerFooter/>
  <drawing r:id="rId1"/>
  <legacyDrawing r:id="rId2"/>
  <oleObjects>
    <mc:AlternateContent xmlns:mc="http://schemas.openxmlformats.org/markup-compatibility/2006">
      <mc:Choice Requires="x14">
        <oleObject shapeId="1027" progId="Package" r:id="rId3" dvAspect="DVASPECT_ICON">
          <objectPr defaultSize="0" r:id="rId4">
            <anchor moveWithCells="1">
              <from>
                <xdr:col>4</xdr:col>
                <xdr:colOff>76200</xdr:colOff>
                <xdr:row>103</xdr:row>
                <xdr:rowOff>295275</xdr:rowOff>
              </from>
              <to>
                <xdr:col>4</xdr:col>
                <xdr:colOff>609600</xdr:colOff>
                <xdr:row>103</xdr:row>
                <xdr:rowOff>295275</xdr:rowOff>
              </to>
            </anchor>
          </objectPr>
        </oleObject>
      </mc:Choice>
      <mc:Fallback>
        <oleObject shapeId="1027" progId="Package" r:id="rId3" dvAspect="DVASPECT_ICON"/>
      </mc:Fallback>
    </mc:AlternateContent>
    <mc:AlternateContent xmlns:mc="http://schemas.openxmlformats.org/markup-compatibility/2006">
      <mc:Choice Requires="x14">
        <oleObject shapeId="1028" progId="Package" r:id="rId5" dvAspect="DVASPECT_ICON">
          <objectPr defaultSize="0" r:id="rId6">
            <anchor moveWithCells="1">
              <from>
                <xdr:col>4</xdr:col>
                <xdr:colOff>800100</xdr:colOff>
                <xdr:row>103</xdr:row>
                <xdr:rowOff>285750</xdr:rowOff>
              </from>
              <to>
                <xdr:col>4</xdr:col>
                <xdr:colOff>1381125</xdr:colOff>
                <xdr:row>103</xdr:row>
                <xdr:rowOff>285750</xdr:rowOff>
              </to>
            </anchor>
          </objectPr>
        </oleObject>
      </mc:Choice>
      <mc:Fallback>
        <oleObject shapeId="1028" progId="Package" r:id="rId5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Company>Ford Motor Company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总表</vt:lpstr>
      <vt:lpstr>日计划及实际</vt:lpstr>
      <vt:lpstr>测试问题统计</vt:lpstr>
      <vt:lpstr>问题汇总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Jing (Jane.)</dc:creator>
  <cp:lastModifiedBy>阿树</cp:lastModifiedBy>
  <dcterms:created xsi:type="dcterms:W3CDTF">2019-02-17T03:05:00Z</dcterms:created>
  <dcterms:modified xsi:type="dcterms:W3CDTF">2019-03-26T03:16:42Z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